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testing\declaracion de sueldos\Nueva carpeta\"/>
    </mc:Choice>
  </mc:AlternateContent>
  <bookViews>
    <workbookView xWindow="480" yWindow="60" windowWidth="15480" windowHeight="9210" firstSheet="2" activeTab="2"/>
  </bookViews>
  <sheets>
    <sheet name="IMPOSICIONES 2013" sheetId="1" r:id="rId1"/>
    <sheet name="SUELDOS 2016" sheetId="7" r:id="rId2"/>
    <sheet name="SUELDOS 2026" sheetId="13" r:id="rId3"/>
  </sheets>
  <calcPr calcId="162913"/>
</workbook>
</file>

<file path=xl/calcChain.xml><?xml version="1.0" encoding="utf-8"?>
<calcChain xmlns="http://schemas.openxmlformats.org/spreadsheetml/2006/main">
  <c r="C118" i="13" l="1"/>
  <c r="C312" i="13"/>
  <c r="C292" i="13"/>
  <c r="C272" i="13"/>
  <c r="C251" i="13"/>
  <c r="C86" i="13"/>
  <c r="C332" i="13"/>
  <c r="C61" i="13"/>
  <c r="C38" i="13"/>
  <c r="E38" i="13"/>
  <c r="C143" i="13"/>
  <c r="C85" i="13"/>
  <c r="C117" i="13"/>
  <c r="C331" i="13"/>
  <c r="C60" i="13"/>
  <c r="C311" i="13"/>
  <c r="C291" i="13"/>
  <c r="C271" i="13"/>
  <c r="C250" i="13"/>
  <c r="C37" i="13"/>
  <c r="C142" i="13"/>
  <c r="U17" i="13"/>
  <c r="U18" i="13"/>
  <c r="U19" i="13"/>
  <c r="U20" i="13"/>
  <c r="U21" i="13"/>
  <c r="T11" i="13"/>
  <c r="T12" i="13"/>
  <c r="T13" i="13"/>
  <c r="T14" i="13"/>
  <c r="T15" i="13"/>
  <c r="T16" i="13"/>
  <c r="T17" i="13"/>
  <c r="T18" i="13"/>
  <c r="T19" i="13"/>
  <c r="T20" i="13"/>
  <c r="T21" i="13"/>
  <c r="R11" i="13"/>
  <c r="R12" i="13"/>
  <c r="R13" i="13"/>
  <c r="R14" i="13"/>
  <c r="R15" i="13"/>
  <c r="R16" i="13"/>
  <c r="R17" i="13"/>
  <c r="R18" i="13"/>
  <c r="R19" i="13"/>
  <c r="R20" i="13"/>
  <c r="R21" i="13"/>
  <c r="Q11" i="13"/>
  <c r="Q12" i="13"/>
  <c r="Q13" i="13"/>
  <c r="Q14" i="13"/>
  <c r="Q15" i="13"/>
  <c r="Q16" i="13"/>
  <c r="Q17" i="13"/>
  <c r="Q18" i="13"/>
  <c r="Q19" i="13"/>
  <c r="Q20" i="13"/>
  <c r="Q21" i="13"/>
  <c r="P11" i="13"/>
  <c r="P12" i="13"/>
  <c r="P13" i="13"/>
  <c r="P14" i="13"/>
  <c r="P15" i="13"/>
  <c r="P16" i="13"/>
  <c r="P17" i="13"/>
  <c r="P18" i="13"/>
  <c r="P19" i="13"/>
  <c r="P20" i="13"/>
  <c r="P21" i="13"/>
  <c r="Q10" i="13"/>
  <c r="R10" i="13"/>
  <c r="T10" i="13"/>
  <c r="P10" i="13"/>
  <c r="N11" i="13"/>
  <c r="N12" i="13"/>
  <c r="N13" i="13"/>
  <c r="N14" i="13"/>
  <c r="N15" i="13"/>
  <c r="N16" i="13"/>
  <c r="N17" i="13"/>
  <c r="N18" i="13"/>
  <c r="M11" i="13"/>
  <c r="M12" i="13"/>
  <c r="M13" i="13"/>
  <c r="M14" i="13"/>
  <c r="M17" i="13"/>
  <c r="M18" i="13"/>
  <c r="M19" i="13"/>
  <c r="M20" i="13"/>
  <c r="M21" i="13"/>
  <c r="L11" i="13"/>
  <c r="L12" i="13"/>
  <c r="L13" i="13"/>
  <c r="L14" i="13"/>
  <c r="L15" i="13"/>
  <c r="L16" i="13"/>
  <c r="L17" i="13"/>
  <c r="L18" i="13"/>
  <c r="L19" i="13"/>
  <c r="L20" i="13"/>
  <c r="L21" i="13"/>
  <c r="K17" i="13"/>
  <c r="K18" i="13"/>
  <c r="K19" i="13"/>
  <c r="K20" i="13"/>
  <c r="K21" i="13"/>
  <c r="I17" i="13"/>
  <c r="I18" i="13"/>
  <c r="I19" i="13"/>
  <c r="I20" i="13"/>
  <c r="I21" i="13"/>
  <c r="H17" i="13"/>
  <c r="H18" i="13"/>
  <c r="H19" i="13"/>
  <c r="H20" i="13"/>
  <c r="H21" i="13"/>
  <c r="J10" i="13"/>
  <c r="L10" i="13"/>
  <c r="M10" i="13"/>
  <c r="N10" i="13"/>
  <c r="G17" i="13"/>
  <c r="G18" i="13"/>
  <c r="G19" i="13"/>
  <c r="G20" i="13"/>
  <c r="G21" i="13"/>
  <c r="E17" i="13"/>
  <c r="E18" i="13"/>
  <c r="E19" i="13"/>
  <c r="E20" i="13"/>
  <c r="E21" i="13"/>
  <c r="D17" i="13"/>
  <c r="D18" i="13"/>
  <c r="D19" i="13"/>
  <c r="D20" i="13"/>
  <c r="D21" i="13"/>
  <c r="C11" i="13"/>
  <c r="C12" i="13"/>
  <c r="C13" i="13"/>
  <c r="C14" i="13"/>
  <c r="C15" i="13"/>
  <c r="C17" i="13"/>
  <c r="C18" i="13"/>
  <c r="C19" i="13"/>
  <c r="C20" i="13"/>
  <c r="C21" i="13"/>
  <c r="B11" i="13"/>
  <c r="B12" i="13"/>
  <c r="B13" i="13"/>
  <c r="B14" i="13"/>
  <c r="B15" i="13"/>
  <c r="B16" i="13"/>
  <c r="B17" i="13"/>
  <c r="B18" i="13"/>
  <c r="B19" i="13"/>
  <c r="B20" i="13"/>
  <c r="B21" i="13"/>
  <c r="C10" i="13"/>
  <c r="B10" i="13"/>
  <c r="C310" i="13"/>
  <c r="C290" i="13"/>
  <c r="C270" i="13"/>
  <c r="C249" i="13"/>
  <c r="C36" i="13"/>
  <c r="C141" i="13"/>
  <c r="C84" i="13"/>
  <c r="C116" i="13"/>
  <c r="C330" i="13"/>
  <c r="C59" i="13"/>
  <c r="N169" i="13"/>
  <c r="U208" i="13"/>
  <c r="C83" i="13"/>
  <c r="C115" i="13"/>
  <c r="C329" i="13"/>
  <c r="T338" i="13"/>
  <c r="R338" i="13"/>
  <c r="Q338" i="13"/>
  <c r="P338" i="13"/>
  <c r="N338" i="13"/>
  <c r="L338" i="13"/>
  <c r="B338" i="13"/>
  <c r="U337" i="13"/>
  <c r="I337" i="13"/>
  <c r="K337" i="13"/>
  <c r="M337" i="13"/>
  <c r="G337" i="13"/>
  <c r="E337" i="13"/>
  <c r="H337" i="13"/>
  <c r="D337" i="13"/>
  <c r="U336" i="13"/>
  <c r="I336" i="13"/>
  <c r="K336" i="13"/>
  <c r="M336" i="13"/>
  <c r="G336" i="13"/>
  <c r="E336" i="13"/>
  <c r="H336" i="13"/>
  <c r="D336" i="13"/>
  <c r="U335" i="13"/>
  <c r="I335" i="13"/>
  <c r="K335" i="13"/>
  <c r="M335" i="13"/>
  <c r="G335" i="13"/>
  <c r="E335" i="13"/>
  <c r="H335" i="13"/>
  <c r="D335" i="13"/>
  <c r="U334" i="13"/>
  <c r="I334" i="13"/>
  <c r="K334" i="13"/>
  <c r="M334" i="13"/>
  <c r="G334" i="13"/>
  <c r="E334" i="13"/>
  <c r="H334" i="13"/>
  <c r="D334" i="13"/>
  <c r="U333" i="13"/>
  <c r="I333" i="13"/>
  <c r="K333" i="13"/>
  <c r="M333" i="13"/>
  <c r="G333" i="13"/>
  <c r="E333" i="13"/>
  <c r="H333" i="13"/>
  <c r="D333" i="13"/>
  <c r="U332" i="13"/>
  <c r="I332" i="13"/>
  <c r="M332" i="13"/>
  <c r="G332" i="13"/>
  <c r="E332" i="13"/>
  <c r="H332" i="13"/>
  <c r="D332" i="13"/>
  <c r="M331" i="13"/>
  <c r="G331" i="13"/>
  <c r="E331" i="13"/>
  <c r="H331" i="13"/>
  <c r="D331" i="13"/>
  <c r="U331" i="13"/>
  <c r="M330" i="13"/>
  <c r="G330" i="13"/>
  <c r="E330" i="13"/>
  <c r="H330" i="13"/>
  <c r="D330" i="13"/>
  <c r="U330" i="13"/>
  <c r="U329" i="13"/>
  <c r="I329" i="13"/>
  <c r="M329" i="13"/>
  <c r="G329" i="13"/>
  <c r="D329" i="13"/>
  <c r="C338" i="13"/>
  <c r="M328" i="13"/>
  <c r="G328" i="13"/>
  <c r="E328" i="13"/>
  <c r="H328" i="13"/>
  <c r="D328" i="13"/>
  <c r="U328" i="13"/>
  <c r="I328" i="13"/>
  <c r="K328" i="13"/>
  <c r="M327" i="13"/>
  <c r="G327" i="13"/>
  <c r="E327" i="13"/>
  <c r="H327" i="13"/>
  <c r="D327" i="13"/>
  <c r="U327" i="13"/>
  <c r="I327" i="13"/>
  <c r="K327" i="13"/>
  <c r="M326" i="13"/>
  <c r="M338" i="13"/>
  <c r="G326" i="13"/>
  <c r="G338" i="13"/>
  <c r="E326" i="13"/>
  <c r="H326" i="13"/>
  <c r="D326" i="13"/>
  <c r="C58" i="13"/>
  <c r="C309" i="13"/>
  <c r="T318" i="13"/>
  <c r="R318" i="13"/>
  <c r="Q318" i="13"/>
  <c r="P318" i="13"/>
  <c r="N318" i="13"/>
  <c r="L318" i="13"/>
  <c r="B318" i="13"/>
  <c r="M317" i="13"/>
  <c r="G317" i="13"/>
  <c r="E317" i="13"/>
  <c r="H317" i="13"/>
  <c r="D317" i="13"/>
  <c r="U317" i="13"/>
  <c r="I317" i="13"/>
  <c r="K317" i="13"/>
  <c r="M316" i="13"/>
  <c r="G316" i="13"/>
  <c r="E316" i="13"/>
  <c r="H316" i="13"/>
  <c r="D316" i="13"/>
  <c r="U316" i="13"/>
  <c r="I316" i="13"/>
  <c r="K316" i="13"/>
  <c r="M315" i="13"/>
  <c r="G315" i="13"/>
  <c r="E315" i="13"/>
  <c r="H315" i="13"/>
  <c r="D315" i="13"/>
  <c r="U315" i="13"/>
  <c r="I315" i="13"/>
  <c r="K315" i="13"/>
  <c r="M314" i="13"/>
  <c r="G314" i="13"/>
  <c r="E314" i="13"/>
  <c r="H314" i="13"/>
  <c r="D314" i="13"/>
  <c r="U314" i="13"/>
  <c r="I314" i="13"/>
  <c r="K314" i="13"/>
  <c r="M313" i="13"/>
  <c r="G313" i="13"/>
  <c r="E313" i="13"/>
  <c r="H313" i="13"/>
  <c r="D313" i="13"/>
  <c r="U313" i="13"/>
  <c r="I313" i="13"/>
  <c r="K313" i="13"/>
  <c r="M312" i="13"/>
  <c r="G312" i="13"/>
  <c r="E312" i="13"/>
  <c r="H312" i="13"/>
  <c r="H318" i="13"/>
  <c r="D312" i="13"/>
  <c r="U312" i="13"/>
  <c r="M311" i="13"/>
  <c r="G311" i="13"/>
  <c r="E311" i="13"/>
  <c r="H311" i="13"/>
  <c r="D311" i="13"/>
  <c r="U311" i="13"/>
  <c r="I311" i="13"/>
  <c r="M310" i="13"/>
  <c r="G310" i="13"/>
  <c r="E310" i="13"/>
  <c r="H310" i="13"/>
  <c r="D310" i="13"/>
  <c r="U310" i="13"/>
  <c r="M309" i="13"/>
  <c r="G309" i="13"/>
  <c r="D309" i="13"/>
  <c r="U309" i="13"/>
  <c r="I309" i="13"/>
  <c r="U308" i="13"/>
  <c r="I308" i="13"/>
  <c r="M308" i="13"/>
  <c r="G308" i="13"/>
  <c r="D308" i="13"/>
  <c r="C318" i="13"/>
  <c r="M307" i="13"/>
  <c r="G307" i="13"/>
  <c r="E307" i="13"/>
  <c r="H307" i="13"/>
  <c r="D307" i="13"/>
  <c r="U307" i="13"/>
  <c r="I307" i="13"/>
  <c r="K307" i="13"/>
  <c r="M306" i="13"/>
  <c r="M318" i="13"/>
  <c r="G306" i="13"/>
  <c r="G318" i="13"/>
  <c r="E306" i="13"/>
  <c r="D306" i="13"/>
  <c r="U306" i="13"/>
  <c r="C289" i="13"/>
  <c r="C269" i="13"/>
  <c r="C248" i="13"/>
  <c r="C35" i="13"/>
  <c r="C140" i="13"/>
  <c r="C288" i="13"/>
  <c r="T298" i="13"/>
  <c r="R298" i="13"/>
  <c r="Q298" i="13"/>
  <c r="P298" i="13"/>
  <c r="N298" i="13"/>
  <c r="L298" i="13"/>
  <c r="B298" i="13"/>
  <c r="M297" i="13"/>
  <c r="G297" i="13"/>
  <c r="E297" i="13"/>
  <c r="H297" i="13"/>
  <c r="D297" i="13"/>
  <c r="U297" i="13"/>
  <c r="I297" i="13"/>
  <c r="K297" i="13"/>
  <c r="M296" i="13"/>
  <c r="G296" i="13"/>
  <c r="E296" i="13"/>
  <c r="H296" i="13"/>
  <c r="D296" i="13"/>
  <c r="U296" i="13"/>
  <c r="I296" i="13"/>
  <c r="K296" i="13"/>
  <c r="M295" i="13"/>
  <c r="G295" i="13"/>
  <c r="E295" i="13"/>
  <c r="H295" i="13"/>
  <c r="D295" i="13"/>
  <c r="U295" i="13"/>
  <c r="I295" i="13"/>
  <c r="K295" i="13"/>
  <c r="M294" i="13"/>
  <c r="G294" i="13"/>
  <c r="E294" i="13"/>
  <c r="H294" i="13"/>
  <c r="D294" i="13"/>
  <c r="U294" i="13"/>
  <c r="I294" i="13"/>
  <c r="K294" i="13"/>
  <c r="M293" i="13"/>
  <c r="G293" i="13"/>
  <c r="E293" i="13"/>
  <c r="H293" i="13"/>
  <c r="D293" i="13"/>
  <c r="U293" i="13"/>
  <c r="I293" i="13"/>
  <c r="K293" i="13"/>
  <c r="M292" i="13"/>
  <c r="G292" i="13"/>
  <c r="D292" i="13"/>
  <c r="U292" i="13"/>
  <c r="M291" i="13"/>
  <c r="G291" i="13"/>
  <c r="E291" i="13"/>
  <c r="H291" i="13"/>
  <c r="D291" i="13"/>
  <c r="U291" i="13"/>
  <c r="I291" i="13"/>
  <c r="M290" i="13"/>
  <c r="G290" i="13"/>
  <c r="E290" i="13"/>
  <c r="H290" i="13"/>
  <c r="D290" i="13"/>
  <c r="U290" i="13"/>
  <c r="M289" i="13"/>
  <c r="G289" i="13"/>
  <c r="E289" i="13"/>
  <c r="H289" i="13"/>
  <c r="D289" i="13"/>
  <c r="U289" i="13"/>
  <c r="I289" i="13"/>
  <c r="K289" i="13"/>
  <c r="M288" i="13"/>
  <c r="G288" i="13"/>
  <c r="G298" i="13"/>
  <c r="D288" i="13"/>
  <c r="U288" i="13"/>
  <c r="I288" i="13"/>
  <c r="U287" i="13"/>
  <c r="I287" i="13"/>
  <c r="K287" i="13"/>
  <c r="M287" i="13"/>
  <c r="G287" i="13"/>
  <c r="E287" i="13"/>
  <c r="H287" i="13"/>
  <c r="D287" i="13"/>
  <c r="U286" i="13"/>
  <c r="M286" i="13"/>
  <c r="M298" i="13"/>
  <c r="G286" i="13"/>
  <c r="E286" i="13"/>
  <c r="D286" i="13"/>
  <c r="C268" i="13"/>
  <c r="T278" i="13"/>
  <c r="R278" i="13"/>
  <c r="Q278" i="13"/>
  <c r="P278" i="13"/>
  <c r="N278" i="13"/>
  <c r="L278" i="13"/>
  <c r="B278" i="13"/>
  <c r="M277" i="13"/>
  <c r="G277" i="13"/>
  <c r="E277" i="13"/>
  <c r="H277" i="13"/>
  <c r="D277" i="13"/>
  <c r="U277" i="13"/>
  <c r="I277" i="13"/>
  <c r="K277" i="13"/>
  <c r="M276" i="13"/>
  <c r="G276" i="13"/>
  <c r="E276" i="13"/>
  <c r="H276" i="13"/>
  <c r="D276" i="13"/>
  <c r="U276" i="13"/>
  <c r="I276" i="13"/>
  <c r="K276" i="13"/>
  <c r="M275" i="13"/>
  <c r="G275" i="13"/>
  <c r="E275" i="13"/>
  <c r="H275" i="13"/>
  <c r="D275" i="13"/>
  <c r="U275" i="13"/>
  <c r="I275" i="13"/>
  <c r="K275" i="13"/>
  <c r="M274" i="13"/>
  <c r="G274" i="13"/>
  <c r="E274" i="13"/>
  <c r="H274" i="13"/>
  <c r="D274" i="13"/>
  <c r="U274" i="13"/>
  <c r="I274" i="13"/>
  <c r="K274" i="13"/>
  <c r="M273" i="13"/>
  <c r="G273" i="13"/>
  <c r="E273" i="13"/>
  <c r="H273" i="13"/>
  <c r="D273" i="13"/>
  <c r="U273" i="13"/>
  <c r="I273" i="13"/>
  <c r="K273" i="13"/>
  <c r="M272" i="13"/>
  <c r="G272" i="13"/>
  <c r="E272" i="13"/>
  <c r="H272" i="13"/>
  <c r="H278" i="13"/>
  <c r="D272" i="13"/>
  <c r="U272" i="13"/>
  <c r="M271" i="13"/>
  <c r="G271" i="13"/>
  <c r="E271" i="13"/>
  <c r="H271" i="13"/>
  <c r="D271" i="13"/>
  <c r="U271" i="13"/>
  <c r="I271" i="13"/>
  <c r="M270" i="13"/>
  <c r="G270" i="13"/>
  <c r="E270" i="13"/>
  <c r="H270" i="13"/>
  <c r="D270" i="13"/>
  <c r="U270" i="13"/>
  <c r="M269" i="13"/>
  <c r="G269" i="13"/>
  <c r="E269" i="13"/>
  <c r="H269" i="13"/>
  <c r="D269" i="13"/>
  <c r="U269" i="13"/>
  <c r="I269" i="13"/>
  <c r="K269" i="13"/>
  <c r="M268" i="13"/>
  <c r="G268" i="13"/>
  <c r="D268" i="13"/>
  <c r="U268" i="13"/>
  <c r="I268" i="13"/>
  <c r="M267" i="13"/>
  <c r="G267" i="13"/>
  <c r="D267" i="13"/>
  <c r="U267" i="13"/>
  <c r="I267" i="13"/>
  <c r="K267" i="13"/>
  <c r="M266" i="13"/>
  <c r="M278" i="13"/>
  <c r="G266" i="13"/>
  <c r="G278" i="13"/>
  <c r="D266" i="13"/>
  <c r="U266" i="13"/>
  <c r="C278" i="13"/>
  <c r="I206" i="13"/>
  <c r="I207" i="13"/>
  <c r="C207" i="13"/>
  <c r="C246" i="13"/>
  <c r="C247" i="13"/>
  <c r="C34" i="13"/>
  <c r="C139" i="13"/>
  <c r="C82" i="13"/>
  <c r="C114" i="13"/>
  <c r="C57" i="13"/>
  <c r="I232" i="13"/>
  <c r="I233" i="13"/>
  <c r="I234" i="13"/>
  <c r="I235" i="13"/>
  <c r="I236" i="13"/>
  <c r="C206" i="13"/>
  <c r="I33" i="13"/>
  <c r="I39" i="13"/>
  <c r="I40" i="13"/>
  <c r="I41" i="13"/>
  <c r="I42" i="13"/>
  <c r="I43" i="13"/>
  <c r="I158" i="13"/>
  <c r="C158" i="13"/>
  <c r="H286" i="13"/>
  <c r="I286" i="13"/>
  <c r="E288" i="13"/>
  <c r="H288" i="13"/>
  <c r="K288" i="13"/>
  <c r="I266" i="13"/>
  <c r="K268" i="13"/>
  <c r="E267" i="13"/>
  <c r="H267" i="13"/>
  <c r="E266" i="13"/>
  <c r="E268" i="13"/>
  <c r="H268" i="13"/>
  <c r="I81" i="13"/>
  <c r="I87" i="13"/>
  <c r="I88" i="13"/>
  <c r="K88" i="13"/>
  <c r="I89" i="13"/>
  <c r="I90" i="13"/>
  <c r="K90" i="13"/>
  <c r="I91" i="13"/>
  <c r="I80" i="13"/>
  <c r="C81" i="13"/>
  <c r="I113" i="13"/>
  <c r="I119" i="13"/>
  <c r="I120" i="13"/>
  <c r="I121" i="13"/>
  <c r="I122" i="13"/>
  <c r="I123" i="13"/>
  <c r="C113" i="13"/>
  <c r="C124" i="13"/>
  <c r="C56" i="13"/>
  <c r="C33" i="13"/>
  <c r="C138" i="13"/>
  <c r="I112" i="13"/>
  <c r="N19" i="13"/>
  <c r="N20" i="13"/>
  <c r="N21" i="13"/>
  <c r="C157" i="13"/>
  <c r="T169" i="13"/>
  <c r="R169" i="13"/>
  <c r="Q169" i="13"/>
  <c r="P169" i="13"/>
  <c r="D158" i="13"/>
  <c r="U158" i="13"/>
  <c r="D159" i="13"/>
  <c r="U159" i="13"/>
  <c r="I159" i="13"/>
  <c r="D160" i="13"/>
  <c r="U160" i="13"/>
  <c r="D161" i="13"/>
  <c r="D162" i="13"/>
  <c r="U162" i="13"/>
  <c r="D163" i="13"/>
  <c r="U163" i="13"/>
  <c r="I163" i="13"/>
  <c r="D164" i="13"/>
  <c r="U164" i="13"/>
  <c r="D165" i="13"/>
  <c r="U165" i="13"/>
  <c r="D166" i="13"/>
  <c r="U166" i="13"/>
  <c r="D167" i="13"/>
  <c r="U167" i="13"/>
  <c r="I167" i="13"/>
  <c r="D168" i="13"/>
  <c r="D157" i="13"/>
  <c r="U157" i="13"/>
  <c r="C205" i="13"/>
  <c r="E205" i="13"/>
  <c r="H205" i="13"/>
  <c r="D206" i="13"/>
  <c r="D207" i="13"/>
  <c r="U207" i="13"/>
  <c r="D208" i="13"/>
  <c r="D209" i="13"/>
  <c r="U209" i="13"/>
  <c r="I209" i="13"/>
  <c r="K209" i="13"/>
  <c r="D210" i="13"/>
  <c r="D211" i="13"/>
  <c r="U211" i="13"/>
  <c r="I211" i="13"/>
  <c r="K211" i="13"/>
  <c r="D212" i="13"/>
  <c r="D213" i="13"/>
  <c r="U213" i="13"/>
  <c r="I213" i="13"/>
  <c r="K213" i="13"/>
  <c r="D214" i="13"/>
  <c r="D215" i="13"/>
  <c r="U215" i="13"/>
  <c r="I215" i="13"/>
  <c r="K215" i="13"/>
  <c r="D216" i="13"/>
  <c r="D205" i="13"/>
  <c r="T217" i="13"/>
  <c r="R217" i="13"/>
  <c r="Q217" i="13"/>
  <c r="P217" i="13"/>
  <c r="U216" i="13"/>
  <c r="I216" i="13"/>
  <c r="K216" i="13"/>
  <c r="U214" i="13"/>
  <c r="I214" i="13"/>
  <c r="K214" i="13"/>
  <c r="U212" i="13"/>
  <c r="I212" i="13"/>
  <c r="K212" i="13"/>
  <c r="U210" i="13"/>
  <c r="I210" i="13"/>
  <c r="K210" i="13"/>
  <c r="U206" i="13"/>
  <c r="D180" i="13"/>
  <c r="U180" i="13"/>
  <c r="I180" i="13"/>
  <c r="K180" i="13"/>
  <c r="D181" i="13"/>
  <c r="D182" i="13"/>
  <c r="U182" i="13"/>
  <c r="I182" i="13"/>
  <c r="K182" i="13"/>
  <c r="D183" i="13"/>
  <c r="U183" i="13"/>
  <c r="I183" i="13"/>
  <c r="K183" i="13"/>
  <c r="D184" i="13"/>
  <c r="U184" i="13"/>
  <c r="I184" i="13"/>
  <c r="K184" i="13"/>
  <c r="D185" i="13"/>
  <c r="U185" i="13"/>
  <c r="I185" i="13"/>
  <c r="D186" i="13"/>
  <c r="U186" i="13"/>
  <c r="I186" i="13"/>
  <c r="K186" i="13"/>
  <c r="D187" i="13"/>
  <c r="U187" i="13"/>
  <c r="I187" i="13"/>
  <c r="K187" i="13"/>
  <c r="D188" i="13"/>
  <c r="U188" i="13"/>
  <c r="I188" i="13"/>
  <c r="K188" i="13"/>
  <c r="D189" i="13"/>
  <c r="U189" i="13"/>
  <c r="I189" i="13"/>
  <c r="D190" i="13"/>
  <c r="U190" i="13"/>
  <c r="I190" i="13"/>
  <c r="K190" i="13"/>
  <c r="D179" i="13"/>
  <c r="U179" i="13"/>
  <c r="T191" i="13"/>
  <c r="R191" i="13"/>
  <c r="Q191" i="13"/>
  <c r="P191" i="13"/>
  <c r="C245" i="13"/>
  <c r="D246" i="13"/>
  <c r="U246" i="13"/>
  <c r="D247" i="13"/>
  <c r="U247" i="13"/>
  <c r="I247" i="13"/>
  <c r="K247" i="13"/>
  <c r="D248" i="13"/>
  <c r="U248" i="13"/>
  <c r="I248" i="13"/>
  <c r="K248" i="13"/>
  <c r="D249" i="13"/>
  <c r="U249" i="13"/>
  <c r="I249" i="13"/>
  <c r="D250" i="13"/>
  <c r="U250" i="13"/>
  <c r="I250" i="13"/>
  <c r="D251" i="13"/>
  <c r="U251" i="13"/>
  <c r="D252" i="13"/>
  <c r="U252" i="13"/>
  <c r="I252" i="13"/>
  <c r="K252" i="13"/>
  <c r="D253" i="13"/>
  <c r="U253" i="13"/>
  <c r="I253" i="13"/>
  <c r="K253" i="13"/>
  <c r="D254" i="13"/>
  <c r="U254" i="13"/>
  <c r="I254" i="13"/>
  <c r="K254" i="13"/>
  <c r="D255" i="13"/>
  <c r="U255" i="13"/>
  <c r="I255" i="13"/>
  <c r="D256" i="13"/>
  <c r="U256" i="13"/>
  <c r="I256" i="13"/>
  <c r="D245" i="13"/>
  <c r="T257" i="13"/>
  <c r="R257" i="13"/>
  <c r="Q257" i="13"/>
  <c r="P257" i="13"/>
  <c r="C225" i="13"/>
  <c r="C237" i="13"/>
  <c r="D226" i="13"/>
  <c r="U226" i="13"/>
  <c r="D227" i="13"/>
  <c r="U227" i="13"/>
  <c r="D228" i="13"/>
  <c r="U228" i="13"/>
  <c r="D229" i="13"/>
  <c r="D14" i="13"/>
  <c r="U229" i="13"/>
  <c r="I229" i="13"/>
  <c r="D230" i="13"/>
  <c r="U230" i="13"/>
  <c r="I230" i="13"/>
  <c r="D231" i="13"/>
  <c r="U231" i="13"/>
  <c r="D232" i="13"/>
  <c r="U232" i="13"/>
  <c r="D233" i="13"/>
  <c r="U233" i="13"/>
  <c r="D234" i="13"/>
  <c r="U234" i="13"/>
  <c r="D235" i="13"/>
  <c r="U235" i="13"/>
  <c r="D236" i="13"/>
  <c r="U236" i="13"/>
  <c r="D225" i="13"/>
  <c r="T237" i="13"/>
  <c r="R237" i="13"/>
  <c r="Q237" i="13"/>
  <c r="P237" i="13"/>
  <c r="C80" i="13"/>
  <c r="D81" i="13"/>
  <c r="U81" i="13"/>
  <c r="D82" i="13"/>
  <c r="U82" i="13"/>
  <c r="I82" i="13"/>
  <c r="K82" i="13"/>
  <c r="D83" i="13"/>
  <c r="U83" i="13"/>
  <c r="D84" i="13"/>
  <c r="U84" i="13"/>
  <c r="D85" i="13"/>
  <c r="U85" i="13"/>
  <c r="D86" i="13"/>
  <c r="U86" i="13"/>
  <c r="D87" i="13"/>
  <c r="U87" i="13"/>
  <c r="D88" i="13"/>
  <c r="U88" i="13"/>
  <c r="D89" i="13"/>
  <c r="U89" i="13"/>
  <c r="D90" i="13"/>
  <c r="U90" i="13"/>
  <c r="D91" i="13"/>
  <c r="D80" i="13"/>
  <c r="T92" i="13"/>
  <c r="R92" i="13"/>
  <c r="Q92" i="13"/>
  <c r="P92" i="13"/>
  <c r="U91" i="13"/>
  <c r="C112" i="13"/>
  <c r="D113" i="13"/>
  <c r="U113" i="13"/>
  <c r="D114" i="13"/>
  <c r="U114" i="13"/>
  <c r="I114" i="13"/>
  <c r="D115" i="13"/>
  <c r="U115" i="13"/>
  <c r="D116" i="13"/>
  <c r="U116" i="13"/>
  <c r="I116" i="13"/>
  <c r="D117" i="13"/>
  <c r="U117" i="13"/>
  <c r="D118" i="13"/>
  <c r="U118" i="13"/>
  <c r="D119" i="13"/>
  <c r="U119" i="13"/>
  <c r="D120" i="13"/>
  <c r="U120" i="13"/>
  <c r="D121" i="13"/>
  <c r="U121" i="13"/>
  <c r="D122" i="13"/>
  <c r="U122" i="13"/>
  <c r="D123" i="13"/>
  <c r="U123" i="13"/>
  <c r="D112" i="13"/>
  <c r="U112" i="13"/>
  <c r="T124" i="13"/>
  <c r="R124" i="13"/>
  <c r="Q124" i="13"/>
  <c r="P124" i="13"/>
  <c r="C55" i="13"/>
  <c r="C67" i="13"/>
  <c r="C32" i="13"/>
  <c r="E32" i="13"/>
  <c r="H32" i="13"/>
  <c r="D56" i="13"/>
  <c r="U56" i="13"/>
  <c r="D57" i="13"/>
  <c r="D58" i="13"/>
  <c r="U58" i="13"/>
  <c r="D59" i="13"/>
  <c r="U59" i="13"/>
  <c r="D60" i="13"/>
  <c r="U60" i="13"/>
  <c r="D61" i="13"/>
  <c r="D62" i="13"/>
  <c r="U62" i="13"/>
  <c r="I62" i="13"/>
  <c r="K62" i="13"/>
  <c r="D63" i="13"/>
  <c r="U63" i="13"/>
  <c r="I63" i="13"/>
  <c r="K63" i="13"/>
  <c r="D64" i="13"/>
  <c r="U64" i="13"/>
  <c r="I64" i="13"/>
  <c r="D65" i="13"/>
  <c r="U65" i="13"/>
  <c r="I65" i="13"/>
  <c r="D66" i="13"/>
  <c r="U66" i="13"/>
  <c r="I66" i="13"/>
  <c r="D55" i="13"/>
  <c r="T67" i="13"/>
  <c r="R67" i="13"/>
  <c r="Q67" i="13"/>
  <c r="P67" i="13"/>
  <c r="U61" i="13"/>
  <c r="I61" i="13"/>
  <c r="K61" i="13"/>
  <c r="K67" i="13"/>
  <c r="D33" i="13"/>
  <c r="U33" i="13"/>
  <c r="D34" i="13"/>
  <c r="U34" i="13"/>
  <c r="D35" i="13"/>
  <c r="U35" i="13"/>
  <c r="I35" i="13"/>
  <c r="K35" i="13"/>
  <c r="D36" i="13"/>
  <c r="U36" i="13"/>
  <c r="I36" i="13"/>
  <c r="D37" i="13"/>
  <c r="U37" i="13"/>
  <c r="D38" i="13"/>
  <c r="U38" i="13"/>
  <c r="I38" i="13"/>
  <c r="D39" i="13"/>
  <c r="U39" i="13"/>
  <c r="D40" i="13"/>
  <c r="U40" i="13"/>
  <c r="D41" i="13"/>
  <c r="U41" i="13"/>
  <c r="D42" i="13"/>
  <c r="U42" i="13"/>
  <c r="D43" i="13"/>
  <c r="D32" i="13"/>
  <c r="U32" i="13"/>
  <c r="I32" i="13"/>
  <c r="U43" i="13"/>
  <c r="T44" i="13"/>
  <c r="R44" i="13"/>
  <c r="Q44" i="13"/>
  <c r="P44" i="13"/>
  <c r="C137" i="13"/>
  <c r="D138" i="13"/>
  <c r="D139" i="13"/>
  <c r="U139" i="13"/>
  <c r="D140" i="13"/>
  <c r="D141" i="13"/>
  <c r="D142" i="13"/>
  <c r="D143" i="13"/>
  <c r="D144" i="13"/>
  <c r="D145" i="13"/>
  <c r="D146" i="13"/>
  <c r="D147" i="13"/>
  <c r="D148" i="13"/>
  <c r="D137" i="13"/>
  <c r="U140" i="13"/>
  <c r="U141" i="13"/>
  <c r="U142" i="13"/>
  <c r="U143" i="13"/>
  <c r="U144" i="13"/>
  <c r="U145" i="13"/>
  <c r="U146" i="13"/>
  <c r="U147" i="13"/>
  <c r="U148" i="13"/>
  <c r="U137" i="13"/>
  <c r="K119" i="13"/>
  <c r="K120" i="13"/>
  <c r="K121" i="13"/>
  <c r="K122" i="13"/>
  <c r="K123" i="13"/>
  <c r="K81" i="13"/>
  <c r="K87" i="13"/>
  <c r="K89" i="13"/>
  <c r="K91" i="13"/>
  <c r="K80" i="13"/>
  <c r="K33" i="13"/>
  <c r="K39" i="13"/>
  <c r="K40" i="13"/>
  <c r="K41" i="13"/>
  <c r="K42" i="13"/>
  <c r="K43" i="13"/>
  <c r="K158" i="13"/>
  <c r="I138" i="13"/>
  <c r="I139" i="13"/>
  <c r="K139" i="13"/>
  <c r="I140" i="13"/>
  <c r="K140" i="13"/>
  <c r="I141" i="13"/>
  <c r="K141" i="13"/>
  <c r="I142" i="13"/>
  <c r="I143" i="13"/>
  <c r="K143" i="13"/>
  <c r="I144" i="13"/>
  <c r="K144" i="13"/>
  <c r="I145" i="13"/>
  <c r="K145" i="13"/>
  <c r="I146" i="13"/>
  <c r="K146" i="13"/>
  <c r="E168" i="13"/>
  <c r="I148" i="13"/>
  <c r="K148" i="13"/>
  <c r="E235" i="13"/>
  <c r="H235" i="13"/>
  <c r="Q149" i="13"/>
  <c r="R149" i="13"/>
  <c r="T149" i="13"/>
  <c r="P149" i="13"/>
  <c r="I147" i="13"/>
  <c r="K147" i="13"/>
  <c r="E158" i="13"/>
  <c r="H158" i="13"/>
  <c r="E159" i="13"/>
  <c r="H159" i="13"/>
  <c r="E165" i="13"/>
  <c r="H165" i="13"/>
  <c r="E167" i="13"/>
  <c r="H167" i="13"/>
  <c r="E215" i="13"/>
  <c r="H215" i="13"/>
  <c r="E157" i="13"/>
  <c r="H157" i="13"/>
  <c r="E122" i="13"/>
  <c r="E90" i="13"/>
  <c r="H90" i="13"/>
  <c r="E91" i="13"/>
  <c r="H91" i="13"/>
  <c r="E89" i="13"/>
  <c r="H89" i="13"/>
  <c r="E214" i="13"/>
  <c r="H214" i="13"/>
  <c r="E64" i="13"/>
  <c r="H64" i="13"/>
  <c r="E146" i="13"/>
  <c r="H146" i="13"/>
  <c r="E88" i="13"/>
  <c r="H88" i="13"/>
  <c r="E187" i="13"/>
  <c r="H187" i="13"/>
  <c r="E253" i="13"/>
  <c r="H253" i="13"/>
  <c r="K233" i="13"/>
  <c r="E233" i="13"/>
  <c r="H233" i="13"/>
  <c r="K232" i="13"/>
  <c r="E87" i="13"/>
  <c r="H87" i="13"/>
  <c r="E119" i="13"/>
  <c r="H119" i="13"/>
  <c r="E212" i="13"/>
  <c r="H212" i="13"/>
  <c r="E144" i="13"/>
  <c r="H144" i="13"/>
  <c r="E86" i="13"/>
  <c r="H86" i="13"/>
  <c r="H92" i="13"/>
  <c r="E211" i="13"/>
  <c r="H211" i="13"/>
  <c r="E85" i="13"/>
  <c r="H85" i="13"/>
  <c r="E210" i="13"/>
  <c r="H210" i="13"/>
  <c r="E60" i="13"/>
  <c r="E184" i="13"/>
  <c r="H184" i="13"/>
  <c r="E162" i="13"/>
  <c r="H162" i="13"/>
  <c r="E59" i="13"/>
  <c r="H59" i="13"/>
  <c r="E83" i="13"/>
  <c r="H83" i="13"/>
  <c r="E182" i="13"/>
  <c r="H182" i="13"/>
  <c r="E228" i="13"/>
  <c r="E160" i="13"/>
  <c r="B217" i="13"/>
  <c r="E181" i="13"/>
  <c r="H181" i="13"/>
  <c r="E227" i="13"/>
  <c r="H227" i="13"/>
  <c r="H12" i="13"/>
  <c r="E82" i="13"/>
  <c r="H82" i="13"/>
  <c r="K207" i="13"/>
  <c r="E57" i="13"/>
  <c r="E246" i="13"/>
  <c r="H246" i="13"/>
  <c r="E226" i="13"/>
  <c r="H226" i="13"/>
  <c r="E81" i="13"/>
  <c r="H81" i="13"/>
  <c r="E206" i="13"/>
  <c r="H206" i="13"/>
  <c r="E137" i="13"/>
  <c r="E255" i="13"/>
  <c r="H255" i="13"/>
  <c r="E251" i="13"/>
  <c r="H251" i="13"/>
  <c r="H257" i="13"/>
  <c r="E230" i="13"/>
  <c r="H230" i="13"/>
  <c r="N257" i="13"/>
  <c r="L257" i="13"/>
  <c r="B257" i="13"/>
  <c r="M256" i="13"/>
  <c r="G256" i="13"/>
  <c r="M255" i="13"/>
  <c r="G255" i="13"/>
  <c r="M254" i="13"/>
  <c r="G254" i="13"/>
  <c r="M253" i="13"/>
  <c r="G253" i="13"/>
  <c r="M252" i="13"/>
  <c r="G252" i="13"/>
  <c r="M251" i="13"/>
  <c r="G251" i="13"/>
  <c r="G257" i="13"/>
  <c r="M250" i="13"/>
  <c r="G250" i="13"/>
  <c r="M249" i="13"/>
  <c r="G249" i="13"/>
  <c r="M248" i="13"/>
  <c r="G248" i="13"/>
  <c r="E248" i="13"/>
  <c r="H248" i="13"/>
  <c r="M247" i="13"/>
  <c r="G247" i="13"/>
  <c r="M246" i="13"/>
  <c r="G246" i="13"/>
  <c r="M245" i="13"/>
  <c r="G245" i="13"/>
  <c r="N237" i="13"/>
  <c r="L237" i="13"/>
  <c r="B237" i="13"/>
  <c r="M236" i="13"/>
  <c r="G236" i="13"/>
  <c r="E236" i="13"/>
  <c r="H236" i="13"/>
  <c r="M235" i="13"/>
  <c r="G235" i="13"/>
  <c r="M234" i="13"/>
  <c r="G234" i="13"/>
  <c r="M233" i="13"/>
  <c r="G233" i="13"/>
  <c r="M232" i="13"/>
  <c r="G232" i="13"/>
  <c r="M231" i="13"/>
  <c r="G231" i="13"/>
  <c r="M230" i="13"/>
  <c r="G230" i="13"/>
  <c r="M229" i="13"/>
  <c r="G229" i="13"/>
  <c r="M228" i="13"/>
  <c r="G228" i="13"/>
  <c r="M227" i="13"/>
  <c r="G227" i="13"/>
  <c r="M226" i="13"/>
  <c r="G226" i="13"/>
  <c r="M225" i="13"/>
  <c r="G225" i="13"/>
  <c r="N217" i="13"/>
  <c r="L217" i="13"/>
  <c r="M216" i="13"/>
  <c r="G216" i="13"/>
  <c r="M215" i="13"/>
  <c r="G215" i="13"/>
  <c r="M214" i="13"/>
  <c r="G214" i="13"/>
  <c r="M213" i="13"/>
  <c r="G213" i="13"/>
  <c r="M212" i="13"/>
  <c r="G212" i="13"/>
  <c r="M211" i="13"/>
  <c r="G211" i="13"/>
  <c r="M210" i="13"/>
  <c r="G210" i="13"/>
  <c r="M209" i="13"/>
  <c r="G209" i="13"/>
  <c r="M208" i="13"/>
  <c r="G208" i="13"/>
  <c r="M207" i="13"/>
  <c r="G207" i="13"/>
  <c r="M206" i="13"/>
  <c r="G206" i="13"/>
  <c r="M205" i="13"/>
  <c r="G205" i="13"/>
  <c r="E190" i="13"/>
  <c r="H190" i="13"/>
  <c r="E140" i="13"/>
  <c r="H140" i="13"/>
  <c r="E145" i="13"/>
  <c r="H145" i="13"/>
  <c r="E147" i="13"/>
  <c r="H147" i="13"/>
  <c r="E148" i="13"/>
  <c r="H148" i="13"/>
  <c r="N191" i="13"/>
  <c r="L191" i="13"/>
  <c r="B191" i="13"/>
  <c r="M190" i="13"/>
  <c r="G190" i="13"/>
  <c r="M189" i="13"/>
  <c r="G189" i="13"/>
  <c r="M188" i="13"/>
  <c r="G188" i="13"/>
  <c r="M187" i="13"/>
  <c r="G187" i="13"/>
  <c r="M186" i="13"/>
  <c r="G186" i="13"/>
  <c r="M185" i="13"/>
  <c r="G185" i="13"/>
  <c r="M184" i="13"/>
  <c r="G184" i="13"/>
  <c r="M183" i="13"/>
  <c r="G183" i="13"/>
  <c r="G14" i="13"/>
  <c r="M182" i="13"/>
  <c r="G182" i="13"/>
  <c r="M181" i="13"/>
  <c r="G181" i="13"/>
  <c r="G12" i="13"/>
  <c r="M180" i="13"/>
  <c r="G180" i="13"/>
  <c r="M179" i="13"/>
  <c r="G179" i="13"/>
  <c r="G10" i="13"/>
  <c r="L169" i="13"/>
  <c r="B169" i="13"/>
  <c r="M168" i="13"/>
  <c r="G168" i="13"/>
  <c r="M167" i="13"/>
  <c r="G167" i="13"/>
  <c r="M166" i="13"/>
  <c r="G166" i="13"/>
  <c r="M165" i="13"/>
  <c r="G165" i="13"/>
  <c r="M164" i="13"/>
  <c r="G164" i="13"/>
  <c r="M163" i="13"/>
  <c r="G163" i="13"/>
  <c r="M162" i="13"/>
  <c r="G162" i="13"/>
  <c r="M161" i="13"/>
  <c r="G161" i="13"/>
  <c r="G169" i="13"/>
  <c r="M160" i="13"/>
  <c r="G160" i="13"/>
  <c r="M159" i="13"/>
  <c r="G159" i="13"/>
  <c r="M158" i="13"/>
  <c r="G158" i="13"/>
  <c r="M157" i="13"/>
  <c r="G157" i="13"/>
  <c r="N149" i="13"/>
  <c r="L149" i="13"/>
  <c r="B149" i="13"/>
  <c r="M148" i="13"/>
  <c r="G148" i="13"/>
  <c r="M147" i="13"/>
  <c r="G147" i="13"/>
  <c r="M146" i="13"/>
  <c r="G146" i="13"/>
  <c r="M145" i="13"/>
  <c r="G145" i="13"/>
  <c r="M144" i="13"/>
  <c r="G144" i="13"/>
  <c r="M143" i="13"/>
  <c r="G143" i="13"/>
  <c r="M142" i="13"/>
  <c r="G142" i="13"/>
  <c r="M141" i="13"/>
  <c r="G141" i="13"/>
  <c r="M140" i="13"/>
  <c r="G140" i="13"/>
  <c r="M139" i="13"/>
  <c r="G139" i="13"/>
  <c r="M138" i="13"/>
  <c r="G138" i="13"/>
  <c r="M137" i="13"/>
  <c r="M149" i="13"/>
  <c r="G137" i="13"/>
  <c r="G149" i="13"/>
  <c r="N124" i="13"/>
  <c r="L124" i="13"/>
  <c r="B124" i="13"/>
  <c r="M123" i="13"/>
  <c r="G123" i="13"/>
  <c r="M122" i="13"/>
  <c r="G122" i="13"/>
  <c r="M121" i="13"/>
  <c r="G121" i="13"/>
  <c r="M120" i="13"/>
  <c r="G120" i="13"/>
  <c r="M119" i="13"/>
  <c r="G119" i="13"/>
  <c r="M118" i="13"/>
  <c r="G118" i="13"/>
  <c r="M117" i="13"/>
  <c r="G117" i="13"/>
  <c r="M116" i="13"/>
  <c r="G116" i="13"/>
  <c r="M115" i="13"/>
  <c r="G115" i="13"/>
  <c r="M114" i="13"/>
  <c r="G114" i="13"/>
  <c r="M113" i="13"/>
  <c r="G113" i="13"/>
  <c r="M112" i="13"/>
  <c r="M124" i="13"/>
  <c r="G112" i="13"/>
  <c r="N44" i="13"/>
  <c r="N67" i="13"/>
  <c r="N92" i="13"/>
  <c r="L92" i="13"/>
  <c r="B92" i="13"/>
  <c r="M91" i="13"/>
  <c r="G91" i="13"/>
  <c r="M90" i="13"/>
  <c r="G90" i="13"/>
  <c r="M89" i="13"/>
  <c r="G89" i="13"/>
  <c r="M88" i="13"/>
  <c r="G88" i="13"/>
  <c r="M87" i="13"/>
  <c r="G87" i="13"/>
  <c r="M86" i="13"/>
  <c r="G86" i="13"/>
  <c r="M85" i="13"/>
  <c r="G85" i="13"/>
  <c r="M84" i="13"/>
  <c r="G84" i="13"/>
  <c r="M83" i="13"/>
  <c r="M92" i="13"/>
  <c r="G83" i="13"/>
  <c r="M82" i="13"/>
  <c r="G82" i="13"/>
  <c r="M81" i="13"/>
  <c r="G81" i="13"/>
  <c r="M80" i="13"/>
  <c r="G80" i="13"/>
  <c r="G92" i="13"/>
  <c r="L67" i="13"/>
  <c r="L22" i="13"/>
  <c r="B67" i="13"/>
  <c r="M66" i="13"/>
  <c r="G66" i="13"/>
  <c r="M65" i="13"/>
  <c r="G65" i="13"/>
  <c r="M64" i="13"/>
  <c r="G64" i="13"/>
  <c r="M63" i="13"/>
  <c r="G63" i="13"/>
  <c r="M62" i="13"/>
  <c r="G62" i="13"/>
  <c r="M61" i="13"/>
  <c r="M67" i="13"/>
  <c r="G61" i="13"/>
  <c r="M60" i="13"/>
  <c r="M15" i="13"/>
  <c r="G60" i="13"/>
  <c r="M59" i="13"/>
  <c r="G59" i="13"/>
  <c r="M58" i="13"/>
  <c r="G58" i="13"/>
  <c r="M57" i="13"/>
  <c r="G57" i="13"/>
  <c r="M56" i="13"/>
  <c r="G56" i="13"/>
  <c r="M55" i="13"/>
  <c r="G55" i="13"/>
  <c r="L44" i="13"/>
  <c r="J44" i="13"/>
  <c r="B44" i="13"/>
  <c r="M43" i="13"/>
  <c r="G43" i="13"/>
  <c r="M42" i="13"/>
  <c r="G42" i="13"/>
  <c r="E42" i="13"/>
  <c r="M41" i="13"/>
  <c r="G41" i="13"/>
  <c r="E41" i="13"/>
  <c r="H41" i="13"/>
  <c r="M40" i="13"/>
  <c r="G40" i="13"/>
  <c r="E40" i="13"/>
  <c r="H40" i="13"/>
  <c r="M39" i="13"/>
  <c r="G39" i="13"/>
  <c r="E39" i="13"/>
  <c r="H39" i="13"/>
  <c r="M38" i="13"/>
  <c r="G38" i="13"/>
  <c r="M37" i="13"/>
  <c r="G37" i="13"/>
  <c r="M36" i="13"/>
  <c r="G36" i="13"/>
  <c r="M35" i="13"/>
  <c r="G35" i="13"/>
  <c r="M34" i="13"/>
  <c r="G34" i="13"/>
  <c r="M33" i="13"/>
  <c r="G33" i="13"/>
  <c r="G44" i="13"/>
  <c r="M32" i="13"/>
  <c r="G32" i="13"/>
  <c r="B12" i="7"/>
  <c r="C12" i="7"/>
  <c r="B13" i="7"/>
  <c r="C13" i="7"/>
  <c r="B14" i="7"/>
  <c r="C14" i="7"/>
  <c r="B15" i="7"/>
  <c r="C15" i="7"/>
  <c r="B16" i="7"/>
  <c r="C16" i="7"/>
  <c r="B17" i="7"/>
  <c r="C17" i="7"/>
  <c r="B18" i="7"/>
  <c r="C18" i="7"/>
  <c r="B19" i="7"/>
  <c r="C19" i="7"/>
  <c r="B20" i="7"/>
  <c r="C20" i="7"/>
  <c r="B21" i="7"/>
  <c r="C21" i="7"/>
  <c r="B22" i="7"/>
  <c r="C22" i="7"/>
  <c r="C11" i="7"/>
  <c r="C23" i="7"/>
  <c r="B11" i="7"/>
  <c r="B23" i="7"/>
  <c r="D43" i="7"/>
  <c r="G43" i="7"/>
  <c r="D81" i="7"/>
  <c r="D12" i="7"/>
  <c r="D117" i="7"/>
  <c r="G117" i="7"/>
  <c r="D62" i="7"/>
  <c r="G62" i="7"/>
  <c r="D99" i="7"/>
  <c r="G99" i="7"/>
  <c r="D135" i="7"/>
  <c r="G135" i="7"/>
  <c r="D44" i="7"/>
  <c r="D63" i="7"/>
  <c r="G63" i="7"/>
  <c r="D82" i="7"/>
  <c r="G82" i="7"/>
  <c r="D118" i="7"/>
  <c r="D100" i="7"/>
  <c r="D136" i="7"/>
  <c r="G136" i="7"/>
  <c r="D45" i="7"/>
  <c r="D64" i="7"/>
  <c r="D83" i="7"/>
  <c r="G83" i="7"/>
  <c r="D101" i="7"/>
  <c r="G101" i="7"/>
  <c r="D119" i="7"/>
  <c r="G119" i="7"/>
  <c r="D137" i="7"/>
  <c r="G137" i="7"/>
  <c r="D46" i="7"/>
  <c r="G46" i="7"/>
  <c r="D65" i="7"/>
  <c r="D84" i="7"/>
  <c r="G84" i="7"/>
  <c r="D102" i="7"/>
  <c r="G102" i="7"/>
  <c r="D120" i="7"/>
  <c r="G120" i="7"/>
  <c r="D138" i="7"/>
  <c r="G138" i="7"/>
  <c r="D47" i="7"/>
  <c r="G47" i="7"/>
  <c r="D66" i="7"/>
  <c r="D85" i="7"/>
  <c r="G85" i="7"/>
  <c r="D103" i="7"/>
  <c r="G103" i="7"/>
  <c r="D121" i="7"/>
  <c r="G121" i="7"/>
  <c r="D139" i="7"/>
  <c r="G139" i="7"/>
  <c r="D48" i="7"/>
  <c r="G48" i="7"/>
  <c r="D67" i="7"/>
  <c r="G67" i="7"/>
  <c r="D86" i="7"/>
  <c r="G86" i="7"/>
  <c r="D104" i="7"/>
  <c r="G104" i="7"/>
  <c r="D122" i="7"/>
  <c r="D140" i="7"/>
  <c r="G140" i="7"/>
  <c r="D49" i="7"/>
  <c r="D68" i="7"/>
  <c r="D87" i="7"/>
  <c r="G87" i="7"/>
  <c r="D105" i="7"/>
  <c r="G105" i="7"/>
  <c r="D123" i="7"/>
  <c r="G123" i="7"/>
  <c r="D141" i="7"/>
  <c r="G141" i="7"/>
  <c r="D50" i="7"/>
  <c r="D69" i="7"/>
  <c r="G69" i="7"/>
  <c r="D88" i="7"/>
  <c r="G88" i="7"/>
  <c r="D106" i="7"/>
  <c r="G106" i="7"/>
  <c r="D124" i="7"/>
  <c r="G124" i="7"/>
  <c r="D142" i="7"/>
  <c r="G142" i="7"/>
  <c r="D51" i="7"/>
  <c r="D70" i="7"/>
  <c r="G70" i="7"/>
  <c r="D89" i="7"/>
  <c r="G89" i="7"/>
  <c r="D107" i="7"/>
  <c r="G107" i="7"/>
  <c r="D125" i="7"/>
  <c r="G125" i="7"/>
  <c r="D143" i="7"/>
  <c r="G143" i="7"/>
  <c r="D52" i="7"/>
  <c r="D71" i="7"/>
  <c r="G71" i="7"/>
  <c r="D90" i="7"/>
  <c r="G90" i="7"/>
  <c r="D108" i="7"/>
  <c r="G108" i="7"/>
  <c r="D126" i="7"/>
  <c r="G126" i="7"/>
  <c r="D144" i="7"/>
  <c r="G144" i="7"/>
  <c r="D53" i="7"/>
  <c r="D72" i="7"/>
  <c r="D91" i="7"/>
  <c r="G91" i="7"/>
  <c r="D127" i="7"/>
  <c r="G127" i="7"/>
  <c r="D145" i="7"/>
  <c r="G145" i="7"/>
  <c r="D109" i="7"/>
  <c r="G109" i="7"/>
  <c r="F43" i="7"/>
  <c r="F81" i="7"/>
  <c r="F117" i="7"/>
  <c r="F62" i="7"/>
  <c r="F99" i="7"/>
  <c r="F135" i="7"/>
  <c r="F44" i="7"/>
  <c r="F13" i="7"/>
  <c r="F63" i="7"/>
  <c r="F82" i="7"/>
  <c r="F118" i="7"/>
  <c r="F100" i="7"/>
  <c r="F136" i="7"/>
  <c r="F45" i="7"/>
  <c r="F64" i="7"/>
  <c r="F83" i="7"/>
  <c r="F101" i="7"/>
  <c r="F119" i="7"/>
  <c r="F14" i="7"/>
  <c r="F137" i="7"/>
  <c r="F46" i="7"/>
  <c r="F65" i="7"/>
  <c r="F84" i="7"/>
  <c r="F102" i="7"/>
  <c r="F120" i="7"/>
  <c r="F138" i="7"/>
  <c r="F47" i="7"/>
  <c r="F16" i="7"/>
  <c r="F66" i="7"/>
  <c r="F85" i="7"/>
  <c r="F103" i="7"/>
  <c r="F121" i="7"/>
  <c r="F139" i="7"/>
  <c r="F48" i="7"/>
  <c r="F67" i="7"/>
  <c r="F86" i="7"/>
  <c r="F17" i="7"/>
  <c r="F104" i="7"/>
  <c r="F122" i="7"/>
  <c r="F140" i="7"/>
  <c r="F49" i="7"/>
  <c r="F18" i="7"/>
  <c r="F68" i="7"/>
  <c r="F87" i="7"/>
  <c r="F105" i="7"/>
  <c r="F123" i="7"/>
  <c r="F141" i="7"/>
  <c r="F50" i="7"/>
  <c r="F69" i="7"/>
  <c r="F88" i="7"/>
  <c r="F106" i="7"/>
  <c r="F124" i="7"/>
  <c r="F142" i="7"/>
  <c r="F51" i="7"/>
  <c r="F70" i="7"/>
  <c r="F89" i="7"/>
  <c r="F107" i="7"/>
  <c r="F125" i="7"/>
  <c r="F143" i="7"/>
  <c r="F52" i="7"/>
  <c r="F71" i="7"/>
  <c r="F90" i="7"/>
  <c r="F108" i="7"/>
  <c r="F126" i="7"/>
  <c r="F144" i="7"/>
  <c r="F53" i="7"/>
  <c r="F72" i="7"/>
  <c r="F91" i="7"/>
  <c r="F127" i="7"/>
  <c r="F145" i="7"/>
  <c r="F109" i="7"/>
  <c r="D42" i="7"/>
  <c r="D80" i="7"/>
  <c r="D116" i="7"/>
  <c r="D61" i="7"/>
  <c r="G61" i="7"/>
  <c r="D98" i="7"/>
  <c r="D134" i="7"/>
  <c r="G134" i="7"/>
  <c r="F42" i="7"/>
  <c r="F80" i="7"/>
  <c r="F116" i="7"/>
  <c r="F61" i="7"/>
  <c r="F73" i="7"/>
  <c r="F98" i="7"/>
  <c r="F134" i="7"/>
  <c r="G42" i="7"/>
  <c r="G116" i="7"/>
  <c r="B54" i="7"/>
  <c r="C54" i="7"/>
  <c r="B73" i="7"/>
  <c r="C73" i="7"/>
  <c r="C92" i="7"/>
  <c r="B110" i="7"/>
  <c r="C110" i="7"/>
  <c r="B128" i="7"/>
  <c r="C128" i="7"/>
  <c r="B146" i="7"/>
  <c r="C146" i="7"/>
  <c r="C72" i="1"/>
  <c r="C22" i="1"/>
  <c r="B11" i="1"/>
  <c r="C21" i="1"/>
  <c r="C20" i="1"/>
  <c r="C19" i="1"/>
  <c r="C18" i="1"/>
  <c r="C17" i="1"/>
  <c r="C16" i="1"/>
  <c r="C15" i="1"/>
  <c r="C14" i="1"/>
  <c r="C13" i="1"/>
  <c r="C12" i="1"/>
  <c r="D53" i="1"/>
  <c r="G53" i="1"/>
  <c r="G22" i="1"/>
  <c r="D91" i="1"/>
  <c r="G91" i="1"/>
  <c r="D52" i="1"/>
  <c r="G52" i="1"/>
  <c r="G21" i="1"/>
  <c r="D71" i="1"/>
  <c r="G71" i="1"/>
  <c r="D90" i="1"/>
  <c r="D51" i="1"/>
  <c r="G51" i="1"/>
  <c r="D70" i="1"/>
  <c r="D89" i="1"/>
  <c r="G89" i="1"/>
  <c r="D50" i="1"/>
  <c r="D69" i="1"/>
  <c r="G69" i="1"/>
  <c r="D88" i="1"/>
  <c r="G88" i="1"/>
  <c r="D49" i="1"/>
  <c r="G49" i="1"/>
  <c r="G18" i="1"/>
  <c r="D68" i="1"/>
  <c r="G68" i="1"/>
  <c r="D87" i="1"/>
  <c r="G87" i="1"/>
  <c r="D48" i="1"/>
  <c r="G48" i="1"/>
  <c r="D67" i="1"/>
  <c r="G67" i="1"/>
  <c r="D86" i="1"/>
  <c r="G86" i="1"/>
  <c r="D47" i="1"/>
  <c r="G47" i="1"/>
  <c r="D66" i="1"/>
  <c r="D85" i="1"/>
  <c r="G85" i="1"/>
  <c r="G16" i="1"/>
  <c r="D46" i="1"/>
  <c r="G46" i="1"/>
  <c r="D65" i="1"/>
  <c r="D84" i="1"/>
  <c r="D45" i="1"/>
  <c r="D64" i="1"/>
  <c r="G64" i="1"/>
  <c r="D83" i="1"/>
  <c r="G83" i="1"/>
  <c r="D44" i="1"/>
  <c r="D63" i="1"/>
  <c r="G63" i="1"/>
  <c r="G73" i="1"/>
  <c r="D82" i="1"/>
  <c r="G82" i="1"/>
  <c r="D43" i="1"/>
  <c r="D62" i="1"/>
  <c r="D12" i="1"/>
  <c r="D81" i="1"/>
  <c r="G81" i="1"/>
  <c r="F53" i="1"/>
  <c r="F72" i="1"/>
  <c r="F22" i="1"/>
  <c r="F91" i="1"/>
  <c r="F52" i="1"/>
  <c r="F71" i="1"/>
  <c r="F21" i="1"/>
  <c r="F90" i="1"/>
  <c r="F51" i="1"/>
  <c r="F70" i="1"/>
  <c r="F20" i="1"/>
  <c r="F89" i="1"/>
  <c r="F50" i="1"/>
  <c r="F69" i="1"/>
  <c r="F88" i="1"/>
  <c r="F49" i="1"/>
  <c r="F68" i="1"/>
  <c r="F18" i="1"/>
  <c r="F87" i="1"/>
  <c r="F48" i="1"/>
  <c r="F67" i="1"/>
  <c r="F86" i="1"/>
  <c r="F47" i="1"/>
  <c r="F66" i="1"/>
  <c r="F85" i="1"/>
  <c r="F16" i="1"/>
  <c r="F46" i="1"/>
  <c r="F65" i="1"/>
  <c r="F84" i="1"/>
  <c r="F15" i="1"/>
  <c r="F45" i="1"/>
  <c r="F64" i="1"/>
  <c r="F14" i="1"/>
  <c r="F83" i="1"/>
  <c r="F44" i="1"/>
  <c r="F63" i="1"/>
  <c r="F13" i="1"/>
  <c r="F23" i="1"/>
  <c r="F82" i="1"/>
  <c r="F43" i="1"/>
  <c r="F62" i="1"/>
  <c r="F81" i="1"/>
  <c r="G43" i="1"/>
  <c r="D42" i="1"/>
  <c r="D61" i="1"/>
  <c r="D80" i="1"/>
  <c r="G80" i="1"/>
  <c r="F42" i="1"/>
  <c r="F61" i="1"/>
  <c r="F73" i="1"/>
  <c r="F80" i="1"/>
  <c r="F92" i="1"/>
  <c r="C11" i="1"/>
  <c r="C23" i="1"/>
  <c r="B22" i="1"/>
  <c r="B21" i="1"/>
  <c r="B20" i="1"/>
  <c r="B19" i="1"/>
  <c r="B18" i="1"/>
  <c r="B17" i="1"/>
  <c r="B16" i="1"/>
  <c r="B15" i="1"/>
  <c r="B14" i="1"/>
  <c r="B13" i="1"/>
  <c r="B12" i="1"/>
  <c r="B23" i="1"/>
  <c r="C92" i="1"/>
  <c r="B92" i="1"/>
  <c r="B73" i="1"/>
  <c r="C54" i="1"/>
  <c r="B54" i="1"/>
  <c r="G44" i="7"/>
  <c r="G13" i="7"/>
  <c r="G84" i="1"/>
  <c r="G51" i="7"/>
  <c r="G68" i="7"/>
  <c r="E180" i="13"/>
  <c r="H180" i="13"/>
  <c r="G72" i="7"/>
  <c r="E138" i="13"/>
  <c r="H138" i="13"/>
  <c r="E139" i="13"/>
  <c r="H139" i="13"/>
  <c r="E249" i="13"/>
  <c r="H249" i="13"/>
  <c r="E183" i="13"/>
  <c r="E254" i="13"/>
  <c r="H254" i="13"/>
  <c r="H122" i="13"/>
  <c r="E186" i="13"/>
  <c r="H186" i="13"/>
  <c r="E252" i="13"/>
  <c r="H252" i="13"/>
  <c r="G118" i="7"/>
  <c r="F12" i="1"/>
  <c r="G62" i="1"/>
  <c r="G45" i="1"/>
  <c r="G14" i="1"/>
  <c r="G66" i="1"/>
  <c r="D16" i="1"/>
  <c r="G70" i="1"/>
  <c r="G20" i="1"/>
  <c r="G100" i="7"/>
  <c r="E256" i="13"/>
  <c r="E43" i="13"/>
  <c r="H43" i="13"/>
  <c r="E121" i="13"/>
  <c r="H121" i="13"/>
  <c r="E36" i="13"/>
  <c r="H36" i="13"/>
  <c r="E250" i="13"/>
  <c r="H250" i="13"/>
  <c r="G67" i="13"/>
  <c r="E208" i="13"/>
  <c r="H208" i="13"/>
  <c r="E63" i="13"/>
  <c r="H63" i="13"/>
  <c r="E120" i="13"/>
  <c r="H120" i="13"/>
  <c r="E61" i="13"/>
  <c r="E67" i="13"/>
  <c r="E118" i="13"/>
  <c r="H118" i="13"/>
  <c r="E117" i="13"/>
  <c r="H117" i="13"/>
  <c r="C169" i="13"/>
  <c r="E115" i="13"/>
  <c r="E114" i="13"/>
  <c r="H114" i="13"/>
  <c r="E80" i="13"/>
  <c r="H80" i="13"/>
  <c r="E33" i="13"/>
  <c r="H33" i="13"/>
  <c r="C73" i="1"/>
  <c r="D72" i="1"/>
  <c r="H137" i="13"/>
  <c r="G42" i="1"/>
  <c r="G81" i="7"/>
  <c r="G80" i="7"/>
  <c r="E142" i="13"/>
  <c r="D13" i="7"/>
  <c r="E234" i="13"/>
  <c r="H234" i="13"/>
  <c r="G45" i="7"/>
  <c r="E245" i="13"/>
  <c r="H256" i="13"/>
  <c r="E141" i="13"/>
  <c r="H141" i="13"/>
  <c r="D20" i="1"/>
  <c r="H245" i="13"/>
  <c r="D22" i="1"/>
  <c r="G72" i="1"/>
  <c r="E216" i="13"/>
  <c r="H216" i="13"/>
  <c r="H228" i="13"/>
  <c r="E58" i="13"/>
  <c r="H58" i="13"/>
  <c r="E161" i="13"/>
  <c r="E189" i="13"/>
  <c r="H189" i="13"/>
  <c r="G53" i="7"/>
  <c r="G22" i="7"/>
  <c r="D22" i="7"/>
  <c r="D13" i="1"/>
  <c r="G44" i="1"/>
  <c r="G13" i="1"/>
  <c r="H160" i="13"/>
  <c r="F54" i="1"/>
  <c r="F11" i="1"/>
  <c r="D73" i="1"/>
  <c r="G61" i="1"/>
  <c r="D54" i="1"/>
  <c r="D17" i="1"/>
  <c r="F12" i="7"/>
  <c r="C191" i="13"/>
  <c r="E55" i="13"/>
  <c r="H55" i="13"/>
  <c r="E232" i="13"/>
  <c r="H232" i="13"/>
  <c r="F22" i="7"/>
  <c r="D14" i="1"/>
  <c r="D11" i="7"/>
  <c r="G124" i="13"/>
  <c r="M191" i="13"/>
  <c r="E56" i="13"/>
  <c r="H56" i="13"/>
  <c r="E207" i="13"/>
  <c r="H207" i="13"/>
  <c r="C217" i="13"/>
  <c r="C149" i="13"/>
  <c r="E143" i="13"/>
  <c r="D20" i="7"/>
  <c r="D73" i="7"/>
  <c r="D14" i="7"/>
  <c r="G64" i="7"/>
  <c r="E37" i="13"/>
  <c r="H37" i="13"/>
  <c r="G65" i="1"/>
  <c r="D15" i="1"/>
  <c r="C257" i="13"/>
  <c r="D110" i="7"/>
  <c r="G12" i="1"/>
  <c r="F19" i="1"/>
  <c r="D92" i="7"/>
  <c r="G49" i="7"/>
  <c r="G18" i="7"/>
  <c r="D18" i="7"/>
  <c r="E34" i="13"/>
  <c r="F17" i="1"/>
  <c r="E35" i="13"/>
  <c r="H35" i="13"/>
  <c r="F20" i="7"/>
  <c r="F19" i="7"/>
  <c r="D21" i="7"/>
  <c r="G52" i="7"/>
  <c r="G65" i="7"/>
  <c r="D15" i="7"/>
  <c r="M217" i="13"/>
  <c r="F128" i="7"/>
  <c r="D16" i="7"/>
  <c r="G66" i="7"/>
  <c r="G16" i="7"/>
  <c r="F11" i="7"/>
  <c r="G20" i="7"/>
  <c r="G17" i="1"/>
  <c r="F54" i="7"/>
  <c r="H42" i="13"/>
  <c r="E62" i="13"/>
  <c r="H62" i="13"/>
  <c r="D11" i="1"/>
  <c r="D146" i="7"/>
  <c r="G90" i="1"/>
  <c r="D21" i="1"/>
  <c r="F146" i="7"/>
  <c r="D54" i="7"/>
  <c r="F21" i="7"/>
  <c r="E116" i="13"/>
  <c r="H116" i="13"/>
  <c r="D19" i="7"/>
  <c r="G50" i="7"/>
  <c r="D19" i="1"/>
  <c r="G50" i="1"/>
  <c r="G19" i="1"/>
  <c r="D17" i="7"/>
  <c r="F110" i="7"/>
  <c r="F15" i="7"/>
  <c r="G122" i="7"/>
  <c r="D128" i="7"/>
  <c r="G12" i="7"/>
  <c r="K234" i="13"/>
  <c r="E66" i="13"/>
  <c r="H66" i="13"/>
  <c r="D92" i="1"/>
  <c r="D18" i="1"/>
  <c r="D23" i="1"/>
  <c r="G98" i="7"/>
  <c r="E65" i="13"/>
  <c r="H65" i="13"/>
  <c r="F92" i="7"/>
  <c r="E179" i="13"/>
  <c r="E10" i="13"/>
  <c r="H179" i="13"/>
  <c r="H10" i="13"/>
  <c r="E123" i="13"/>
  <c r="H123" i="13"/>
  <c r="E166" i="13"/>
  <c r="H166" i="13"/>
  <c r="E188" i="13"/>
  <c r="H188" i="13"/>
  <c r="E84" i="13"/>
  <c r="H84" i="13"/>
  <c r="C92" i="13"/>
  <c r="H34" i="13"/>
  <c r="G11" i="1"/>
  <c r="D23" i="7"/>
  <c r="K64" i="13"/>
  <c r="I137" i="13"/>
  <c r="K137" i="13"/>
  <c r="K32" i="13"/>
  <c r="E112" i="13"/>
  <c r="H112" i="13"/>
  <c r="K65" i="13"/>
  <c r="M44" i="13"/>
  <c r="M22" i="13" s="1"/>
  <c r="K66" i="13"/>
  <c r="M169" i="13"/>
  <c r="K112" i="13"/>
  <c r="M237" i="13"/>
  <c r="I157" i="13"/>
  <c r="U245" i="13"/>
  <c r="U55" i="13"/>
  <c r="I55" i="13"/>
  <c r="U225" i="13"/>
  <c r="I225" i="13"/>
  <c r="K225" i="13"/>
  <c r="U205" i="13"/>
  <c r="I205" i="13"/>
  <c r="K236" i="13"/>
  <c r="G21" i="7"/>
  <c r="G54" i="7"/>
  <c r="G15" i="7"/>
  <c r="G128" i="7"/>
  <c r="G14" i="7"/>
  <c r="G92" i="7"/>
  <c r="G92" i="1"/>
  <c r="G54" i="1"/>
  <c r="G15" i="1"/>
  <c r="G23" i="1"/>
  <c r="G146" i="7"/>
  <c r="G73" i="7"/>
  <c r="G11" i="7"/>
  <c r="F23" i="7"/>
  <c r="G19" i="7"/>
  <c r="G17" i="7"/>
  <c r="G110" i="7"/>
  <c r="M257" i="13"/>
  <c r="K256" i="13"/>
  <c r="K255" i="13"/>
  <c r="K206" i="13"/>
  <c r="D124" i="13"/>
  <c r="E225" i="13"/>
  <c r="E247" i="13"/>
  <c r="H247" i="13"/>
  <c r="E209" i="13"/>
  <c r="H209" i="13"/>
  <c r="E229" i="13"/>
  <c r="E14" i="13"/>
  <c r="H229" i="13"/>
  <c r="E163" i="13"/>
  <c r="E231" i="13"/>
  <c r="H231" i="13"/>
  <c r="E185" i="13"/>
  <c r="E164" i="13"/>
  <c r="H164" i="13"/>
  <c r="E213" i="13"/>
  <c r="K235" i="13"/>
  <c r="K189" i="13"/>
  <c r="U80" i="13"/>
  <c r="K205" i="13"/>
  <c r="I245" i="13"/>
  <c r="K157" i="13"/>
  <c r="H163" i="13"/>
  <c r="H225" i="13"/>
  <c r="H185" i="13"/>
  <c r="H213" i="13"/>
  <c r="K55" i="13"/>
  <c r="G23" i="7"/>
  <c r="K245" i="13"/>
  <c r="K159" i="13"/>
  <c r="K286" i="13"/>
  <c r="H266" i="13"/>
  <c r="K266" i="13"/>
  <c r="I34" i="13"/>
  <c r="K114" i="13"/>
  <c r="H57" i="13"/>
  <c r="U57" i="13"/>
  <c r="I246" i="13"/>
  <c r="D257" i="13"/>
  <c r="E113" i="13"/>
  <c r="K113" i="13"/>
  <c r="I56" i="13"/>
  <c r="K138" i="13"/>
  <c r="U138" i="13"/>
  <c r="D149" i="13"/>
  <c r="K34" i="13"/>
  <c r="I57" i="13"/>
  <c r="K246" i="13"/>
  <c r="H113" i="13"/>
  <c r="K56" i="13"/>
  <c r="K57" i="13"/>
  <c r="G217" i="13"/>
  <c r="H217" i="13"/>
  <c r="D217" i="13"/>
  <c r="U168" i="13"/>
  <c r="H168" i="13"/>
  <c r="K167" i="13"/>
  <c r="I166" i="13"/>
  <c r="I165" i="13"/>
  <c r="I164" i="13"/>
  <c r="K163" i="13"/>
  <c r="I162" i="13"/>
  <c r="E169" i="13"/>
  <c r="H161" i="13"/>
  <c r="U161" i="13"/>
  <c r="N22" i="13"/>
  <c r="I160" i="13"/>
  <c r="U169" i="13"/>
  <c r="D169" i="13"/>
  <c r="I208" i="13"/>
  <c r="U217" i="13"/>
  <c r="E217" i="13"/>
  <c r="I83" i="13"/>
  <c r="H115" i="13"/>
  <c r="I115" i="13"/>
  <c r="U326" i="13"/>
  <c r="E329" i="13"/>
  <c r="K329" i="13"/>
  <c r="I58" i="13"/>
  <c r="I306" i="13"/>
  <c r="K309" i="13"/>
  <c r="E308" i="13"/>
  <c r="H308" i="13"/>
  <c r="K308" i="13"/>
  <c r="H306" i="13"/>
  <c r="E309" i="13"/>
  <c r="H309" i="13"/>
  <c r="I168" i="13"/>
  <c r="K166" i="13"/>
  <c r="K165" i="13"/>
  <c r="K164" i="13"/>
  <c r="K162" i="13"/>
  <c r="H169" i="13"/>
  <c r="I161" i="13"/>
  <c r="K160" i="13"/>
  <c r="K208" i="13"/>
  <c r="K217" i="13"/>
  <c r="I217" i="13"/>
  <c r="K83" i="13"/>
  <c r="K115" i="13"/>
  <c r="I326" i="13"/>
  <c r="H329" i="13"/>
  <c r="K58" i="13"/>
  <c r="K306" i="13"/>
  <c r="K168" i="13"/>
  <c r="I169" i="13"/>
  <c r="K161" i="13"/>
  <c r="K326" i="13"/>
  <c r="K169" i="13"/>
  <c r="I84" i="13"/>
  <c r="E92" i="13"/>
  <c r="K116" i="13"/>
  <c r="I330" i="13"/>
  <c r="I59" i="13"/>
  <c r="K84" i="13"/>
  <c r="K330" i="13"/>
  <c r="K59" i="13"/>
  <c r="I310" i="13"/>
  <c r="K310" i="13"/>
  <c r="I290" i="13"/>
  <c r="D298" i="13"/>
  <c r="I270" i="13"/>
  <c r="K249" i="13"/>
  <c r="K36" i="13"/>
  <c r="I149" i="13"/>
  <c r="K290" i="13"/>
  <c r="K270" i="13"/>
  <c r="U14" i="13"/>
  <c r="E13" i="13"/>
  <c r="D12" i="13"/>
  <c r="H183" i="13"/>
  <c r="H14" i="13"/>
  <c r="E12" i="13"/>
  <c r="U181" i="13"/>
  <c r="G11" i="13"/>
  <c r="E11" i="13"/>
  <c r="D11" i="13"/>
  <c r="I85" i="13"/>
  <c r="I117" i="13"/>
  <c r="U338" i="13"/>
  <c r="I331" i="13"/>
  <c r="D338" i="13"/>
  <c r="H60" i="13"/>
  <c r="U67" i="13"/>
  <c r="I60" i="13"/>
  <c r="D67" i="13"/>
  <c r="E318" i="13"/>
  <c r="K311" i="13"/>
  <c r="K291" i="13"/>
  <c r="E278" i="13"/>
  <c r="K271" i="13"/>
  <c r="K250" i="13"/>
  <c r="G15" i="13"/>
  <c r="E237" i="13"/>
  <c r="I37" i="13"/>
  <c r="D44" i="13"/>
  <c r="U15" i="13"/>
  <c r="D15" i="13"/>
  <c r="K142" i="13"/>
  <c r="H142" i="13"/>
  <c r="U149" i="13"/>
  <c r="I181" i="13"/>
  <c r="K85" i="13"/>
  <c r="K117" i="13"/>
  <c r="K331" i="13"/>
  <c r="K60" i="13"/>
  <c r="K37" i="13"/>
  <c r="K181" i="13"/>
  <c r="I67" i="13"/>
  <c r="E44" i="13"/>
  <c r="H38" i="13"/>
  <c r="H44" i="13"/>
  <c r="C44" i="13"/>
  <c r="K38" i="13"/>
  <c r="K44" i="13"/>
  <c r="K22" i="13" s="1"/>
  <c r="I44" i="13"/>
  <c r="U44" i="13"/>
  <c r="K149" i="13"/>
  <c r="E149" i="13"/>
  <c r="H143" i="13"/>
  <c r="H149" i="13"/>
  <c r="H61" i="13"/>
  <c r="H67" i="13"/>
  <c r="M16" i="13"/>
  <c r="H124" i="13"/>
  <c r="E124" i="13"/>
  <c r="I118" i="13"/>
  <c r="U124" i="13"/>
  <c r="I312" i="13"/>
  <c r="U318" i="13"/>
  <c r="D318" i="13"/>
  <c r="I272" i="13"/>
  <c r="U278" i="13"/>
  <c r="D278" i="13"/>
  <c r="H15" i="13"/>
  <c r="H191" i="13"/>
  <c r="G13" i="13"/>
  <c r="E191" i="13"/>
  <c r="H13" i="13"/>
  <c r="H11" i="13"/>
  <c r="I179" i="13"/>
  <c r="U10" i="13"/>
  <c r="D10" i="13"/>
  <c r="G191" i="13"/>
  <c r="D191" i="13"/>
  <c r="B22" i="13"/>
  <c r="K185" i="13"/>
  <c r="U191" i="13"/>
  <c r="R22" i="13"/>
  <c r="P22" i="13"/>
  <c r="E257" i="13"/>
  <c r="I251" i="13"/>
  <c r="U257" i="13"/>
  <c r="I226" i="13"/>
  <c r="U11" i="13"/>
  <c r="I227" i="13"/>
  <c r="U12" i="13"/>
  <c r="U13" i="13"/>
  <c r="I228" i="13"/>
  <c r="D13" i="13"/>
  <c r="K229" i="13"/>
  <c r="K14" i="13"/>
  <c r="I14" i="13"/>
  <c r="K230" i="13"/>
  <c r="K15" i="13"/>
  <c r="I15" i="13"/>
  <c r="G237" i="13"/>
  <c r="G22" i="13"/>
  <c r="E15" i="13"/>
  <c r="H237" i="13"/>
  <c r="U237" i="13"/>
  <c r="I231" i="13"/>
  <c r="D237" i="13"/>
  <c r="D16" i="13"/>
  <c r="I86" i="13"/>
  <c r="U92" i="13"/>
  <c r="D92" i="13"/>
  <c r="T22" i="13"/>
  <c r="Q22" i="13"/>
  <c r="I292" i="13"/>
  <c r="U298" i="13"/>
  <c r="G16" i="13"/>
  <c r="H338" i="13"/>
  <c r="E338" i="13"/>
  <c r="K332" i="13"/>
  <c r="I338" i="13"/>
  <c r="U16" i="13"/>
  <c r="K118" i="13"/>
  <c r="K124" i="13"/>
  <c r="I124" i="13"/>
  <c r="K312" i="13"/>
  <c r="K318" i="13"/>
  <c r="I318" i="13"/>
  <c r="C298" i="13"/>
  <c r="C22" i="13"/>
  <c r="E292" i="13"/>
  <c r="C16" i="13"/>
  <c r="K272" i="13"/>
  <c r="K278" i="13"/>
  <c r="I278" i="13"/>
  <c r="K179" i="13"/>
  <c r="K10" i="13"/>
  <c r="I10" i="13"/>
  <c r="U22" i="13"/>
  <c r="D22" i="13"/>
  <c r="I191" i="13"/>
  <c r="K251" i="13"/>
  <c r="K257" i="13"/>
  <c r="I257" i="13"/>
  <c r="K226" i="13"/>
  <c r="K11" i="13"/>
  <c r="I11" i="13"/>
  <c r="K227" i="13"/>
  <c r="K12" i="13"/>
  <c r="I12" i="13"/>
  <c r="K228" i="13"/>
  <c r="K13" i="13"/>
  <c r="I13" i="13"/>
  <c r="K231" i="13"/>
  <c r="K237" i="13"/>
  <c r="I237" i="13"/>
  <c r="I16" i="13"/>
  <c r="K86" i="13"/>
  <c r="K92" i="13"/>
  <c r="I92" i="13"/>
  <c r="K292" i="13"/>
  <c r="K298" i="13"/>
  <c r="I298" i="13"/>
  <c r="K338" i="13"/>
  <c r="H292" i="13"/>
  <c r="E298" i="13"/>
  <c r="E22" i="13"/>
  <c r="E16" i="13"/>
  <c r="K191" i="13"/>
  <c r="I22" i="13"/>
  <c r="K16" i="13"/>
  <c r="H298" i="13"/>
  <c r="H22" i="13"/>
  <c r="H16" i="13"/>
</calcChain>
</file>

<file path=xl/sharedStrings.xml><?xml version="1.0" encoding="utf-8"?>
<sst xmlns="http://schemas.openxmlformats.org/spreadsheetml/2006/main" count="1074" uniqueCount="107">
  <si>
    <t>NOMBRE EMPLEADOR</t>
  </si>
  <si>
    <t>RUT</t>
  </si>
  <si>
    <t>DIRECCION</t>
  </si>
  <si>
    <t>PERÍODO</t>
  </si>
  <si>
    <t>SUELDO</t>
  </si>
  <si>
    <t>COTIZACION</t>
  </si>
  <si>
    <t xml:space="preserve">RENTA NETA </t>
  </si>
  <si>
    <t xml:space="preserve">FACTOR </t>
  </si>
  <si>
    <t>MONTOS ACTUALIZADOS</t>
  </si>
  <si>
    <t>BRUTO</t>
  </si>
  <si>
    <t>PREVISIONAL</t>
  </si>
  <si>
    <t>IMPONIBLE</t>
  </si>
  <si>
    <t>ACTUALIZAC.</t>
  </si>
  <si>
    <t>RENTA NETA IMPONIBLE</t>
  </si>
  <si>
    <t xml:space="preserve">ENERO </t>
  </si>
  <si>
    <t xml:space="preserve">FEBRERO </t>
  </si>
  <si>
    <t>MARZO</t>
  </si>
  <si>
    <t>ABRIL</t>
  </si>
  <si>
    <t xml:space="preserve">MAYO 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</si>
  <si>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</si>
  <si>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</si>
  <si>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</si>
  <si>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</si>
  <si>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</si>
  <si>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</si>
  <si>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</si>
  <si>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</si>
  <si>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NOMBRE</t>
  </si>
  <si>
    <t>RESUMEN DECLARACION JURADA Nº 1887</t>
  </si>
  <si>
    <t>SDO BRUTO</t>
  </si>
  <si>
    <t>ACTUAL</t>
  </si>
  <si>
    <t>ALEX  ALEJANDRO HERNANDEZ ROJAS</t>
  </si>
  <si>
    <t>15.151.945-8</t>
  </si>
  <si>
    <t>BERNARDO  O`HOGGINS 968</t>
  </si>
  <si>
    <t>SEPULVEDA TAPIA YENI CATALINA</t>
  </si>
  <si>
    <t>15.570.153-6</t>
  </si>
  <si>
    <t>INZUNZA VILLAR MIGUEL ANGEL</t>
  </si>
  <si>
    <t>16,835,654-6</t>
  </si>
  <si>
    <t>VILLAR RODRIGUEZ JAIRO</t>
  </si>
  <si>
    <t>13,788,392-9</t>
  </si>
  <si>
    <t>IMPORT. DONG SHENG</t>
  </si>
  <si>
    <t>76,519,206-4</t>
  </si>
  <si>
    <t>FABIAN GONZALEZ PEREZ</t>
  </si>
  <si>
    <t>14,362,950-3</t>
  </si>
  <si>
    <t>SANDRA LOPEZ VALENZUELA</t>
  </si>
  <si>
    <t>17,172,225-K</t>
  </si>
  <si>
    <t>NINOSKA MUÑOZ CAMPOS</t>
  </si>
  <si>
    <t>18,653,565-0</t>
  </si>
  <si>
    <t>DIEGO RAMOS ALVAREZ</t>
  </si>
  <si>
    <t>19,576,123-K</t>
  </si>
  <si>
    <t>DIAZ ALBORNOZ ABRAHAM</t>
  </si>
  <si>
    <t>18,982,427-0</t>
  </si>
  <si>
    <t>SERGIO TRONCOSO ESPINOZA</t>
  </si>
  <si>
    <t>16,732,207-7</t>
  </si>
  <si>
    <t>FUENTES IBARRA JENIFFER VALESKA</t>
  </si>
  <si>
    <t>SANTANA COLMENARES LIZ MARBELLA</t>
  </si>
  <si>
    <t>SHEN HUI</t>
  </si>
  <si>
    <t>MAIPU 419 DPTO. 8 Y 9</t>
  </si>
  <si>
    <t>IMPORT. DONG SHENG LTDA.</t>
  </si>
  <si>
    <t>76.519.206-4</t>
  </si>
  <si>
    <t>26.879.752-1</t>
  </si>
  <si>
    <t>26.578.630-8</t>
  </si>
  <si>
    <t>18.441.583-6</t>
  </si>
  <si>
    <t>SHEN XUAN</t>
  </si>
  <si>
    <t>24.364.035-0</t>
  </si>
  <si>
    <t>GASTOS</t>
  </si>
  <si>
    <t>PATRONALES</t>
  </si>
  <si>
    <t>PAGADA</t>
  </si>
  <si>
    <t>SUELDO BRUTO</t>
  </si>
  <si>
    <t>ACTUALIZADO</t>
  </si>
  <si>
    <t>RENTA NETA PAGADA</t>
  </si>
  <si>
    <t>IMP.PAGADAS</t>
  </si>
  <si>
    <t>SIN ACTUALIZAR</t>
  </si>
  <si>
    <t>IMPUESTO</t>
  </si>
  <si>
    <t>ÚNICO</t>
  </si>
  <si>
    <t>IMPTO. ÚNICO</t>
  </si>
  <si>
    <t>ASGINACIÓN</t>
  </si>
  <si>
    <t>FAMILIAR</t>
  </si>
  <si>
    <t>PARRA JARA LUISA MERCEDES</t>
  </si>
  <si>
    <t>26.349.918-2</t>
  </si>
  <si>
    <t>FUENTES IBARRA MARÍA JOSE</t>
  </si>
  <si>
    <t>17.054.567-2</t>
  </si>
  <si>
    <t>MALACHOSWKY SALAZAR KATHERYNE DE LOS ANGELES</t>
  </si>
  <si>
    <t>27.366.388-6</t>
  </si>
  <si>
    <t>AMAYA ACURERO AHSLEY PAOLA</t>
  </si>
  <si>
    <t>44.336.047-6</t>
  </si>
  <si>
    <t>BLANCO PEROZA DIANA MARILY</t>
  </si>
  <si>
    <t>44.336.008-5</t>
  </si>
  <si>
    <t>JARAMILLO DINAMARCA ESTEFANIA ANDREA</t>
  </si>
  <si>
    <t>19.842.504-4</t>
  </si>
  <si>
    <t>SEGURO</t>
  </si>
  <si>
    <t>SOCIAL (0,1%)</t>
  </si>
  <si>
    <t xml:space="preserve"> APORTES PATRONALES </t>
  </si>
  <si>
    <t xml:space="preserve"> SIS </t>
  </si>
  <si>
    <t>AFC</t>
  </si>
  <si>
    <t>ISL</t>
  </si>
  <si>
    <t>S. SOCIAL</t>
  </si>
  <si>
    <t>S.SOCIAL (0,1 %)</t>
  </si>
  <si>
    <t>OJEDA BRACHO KEIDIMAR</t>
  </si>
  <si>
    <t>41.450.884-7</t>
  </si>
  <si>
    <t>SANTANA COLMENARES EDGAR ALEXANDER</t>
  </si>
  <si>
    <t>29.117.027-7</t>
  </si>
  <si>
    <t>SEQUERA PEÑA WILMARY ALEJANDRA</t>
  </si>
  <si>
    <t>28.853.911-1</t>
  </si>
  <si>
    <t>PEREZ RONDON YNES NATALYS</t>
  </si>
  <si>
    <t>26.412.680-0</t>
  </si>
  <si>
    <t>RENT. PROTEGIDA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</si>
</sst>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_-;\-* #,##0_-;_-* &quot;-&quot;_-;_-@_-"/>
    <numFmt numFmtId="165" formatCode="_-* #,##0.00_-;\-* #,##0.00_-;_-* &quot;-&quot;??_-;_-@_-"/>
    <numFmt numFmtId="166" formatCode="_(* #,##0.00_);_(* \(#,##0.00\);_(* &quot;-&quot;??_);_(@_)"/>
    <numFmt numFmtId="167" formatCode="_(* #,##0_);_(* \(#,##0\);_(* &quot;-&quot;??_);_(@_)"/>
    <numFmt numFmtId="168" formatCode="_-* #,##0.000_-;\-* #,##0.000_-;_-* &quot;-&quot;??_-;_-@_-"/>
    <numFmt numFmtId="169" formatCode="_-* #,##0_-;\-* #,##0_-;_-* &quot;-&quot;??_-;_-@_-"/>
    <numFmt numFmtId="170" formatCode="0.000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0" fontId="3" fillId="0" borderId="0" xfId="0" applyFont="1"/>
    <xf numFmtId="167" fontId="3" fillId="0" borderId="0" xfId="3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167" fontId="2" fillId="0" borderId="0" xfId="3" applyNumberFormat="1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Fill="1" applyBorder="1"/>
    <xf numFmtId="167" fontId="3" fillId="0" borderId="0" xfId="3" applyNumberFormat="1" applyFont="1" applyBorder="1"/>
    <xf numFmtId="0" fontId="3" fillId="0" borderId="0" xfId="0" applyFont="1" applyBorder="1"/>
    <xf numFmtId="167" fontId="4" fillId="0" borderId="7" xfId="3" applyNumberFormat="1" applyFont="1" applyBorder="1" applyAlignment="1">
      <alignment horizontal="center"/>
    </xf>
    <xf numFmtId="167" fontId="4" fillId="0" borderId="8" xfId="3" applyNumberFormat="1" applyFont="1" applyBorder="1" applyAlignment="1">
      <alignment horizontal="center"/>
    </xf>
    <xf numFmtId="167" fontId="4" fillId="0" borderId="9" xfId="3" applyNumberFormat="1" applyFont="1" applyBorder="1" applyAlignment="1">
      <alignment horizontal="center"/>
    </xf>
    <xf numFmtId="0" fontId="4" fillId="0" borderId="10" xfId="0" applyFont="1" applyBorder="1"/>
    <xf numFmtId="0" fontId="4" fillId="0" borderId="7" xfId="0" applyFont="1" applyBorder="1"/>
    <xf numFmtId="0" fontId="2" fillId="0" borderId="11" xfId="0" applyFont="1" applyBorder="1"/>
    <xf numFmtId="167" fontId="2" fillId="0" borderId="12" xfId="3" applyNumberFormat="1" applyFont="1" applyBorder="1"/>
    <xf numFmtId="0" fontId="2" fillId="0" borderId="5" xfId="0" applyFont="1" applyFill="1" applyBorder="1"/>
    <xf numFmtId="167" fontId="2" fillId="0" borderId="6" xfId="3" applyNumberFormat="1" applyFont="1" applyBorder="1"/>
    <xf numFmtId="167" fontId="2" fillId="0" borderId="9" xfId="3" applyNumberFormat="1" applyFont="1" applyBorder="1"/>
    <xf numFmtId="167" fontId="3" fillId="0" borderId="13" xfId="3" applyNumberFormat="1" applyFont="1" applyBorder="1"/>
    <xf numFmtId="0" fontId="3" fillId="0" borderId="13" xfId="0" applyFont="1" applyBorder="1"/>
    <xf numFmtId="0" fontId="4" fillId="0" borderId="14" xfId="0" applyFont="1" applyBorder="1" applyAlignment="1">
      <alignment horizontal="center"/>
    </xf>
    <xf numFmtId="167" fontId="4" fillId="0" borderId="15" xfId="3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67" fontId="4" fillId="0" borderId="16" xfId="3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7" fontId="3" fillId="0" borderId="10" xfId="3" applyNumberFormat="1" applyFont="1" applyBorder="1"/>
    <xf numFmtId="167" fontId="2" fillId="0" borderId="10" xfId="3" applyNumberFormat="1" applyFont="1" applyBorder="1"/>
    <xf numFmtId="167" fontId="3" fillId="0" borderId="10" xfId="3" applyNumberFormat="1" applyFont="1" applyFill="1" applyBorder="1"/>
    <xf numFmtId="167" fontId="2" fillId="0" borderId="18" xfId="3" applyNumberFormat="1" applyFont="1" applyBorder="1"/>
    <xf numFmtId="167" fontId="2" fillId="0" borderId="12" xfId="3" applyNumberFormat="1" applyFont="1" applyBorder="1" applyAlignment="1"/>
    <xf numFmtId="0" fontId="5" fillId="0" borderId="1" xfId="0" applyFont="1" applyBorder="1" applyAlignment="1">
      <alignment horizontal="center"/>
    </xf>
    <xf numFmtId="167" fontId="5" fillId="0" borderId="19" xfId="3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7" fontId="5" fillId="0" borderId="20" xfId="3" applyNumberFormat="1" applyFont="1" applyBorder="1" applyAlignment="1">
      <alignment horizontal="center"/>
    </xf>
    <xf numFmtId="167" fontId="3" fillId="0" borderId="21" xfId="3" applyNumberFormat="1" applyFont="1" applyBorder="1"/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168" fontId="2" fillId="0" borderId="22" xfId="1" applyNumberFormat="1" applyFont="1" applyBorder="1"/>
    <xf numFmtId="168" fontId="2" fillId="0" borderId="23" xfId="1" applyNumberFormat="1" applyFont="1" applyBorder="1"/>
    <xf numFmtId="167" fontId="5" fillId="0" borderId="2" xfId="3" applyNumberFormat="1" applyFont="1" applyBorder="1" applyAlignment="1">
      <alignment horizontal="center"/>
    </xf>
    <xf numFmtId="167" fontId="5" fillId="0" borderId="6" xfId="3" applyNumberFormat="1" applyFont="1" applyBorder="1" applyAlignment="1">
      <alignment horizontal="center"/>
    </xf>
    <xf numFmtId="0" fontId="5" fillId="0" borderId="24" xfId="0" applyFont="1" applyBorder="1"/>
    <xf numFmtId="0" fontId="5" fillId="0" borderId="25" xfId="0" applyFont="1" applyBorder="1"/>
    <xf numFmtId="167" fontId="5" fillId="0" borderId="12" xfId="3" applyNumberFormat="1" applyFont="1" applyBorder="1" applyAlignment="1">
      <alignment horizontal="center"/>
    </xf>
    <xf numFmtId="167" fontId="3" fillId="0" borderId="21" xfId="3" applyNumberFormat="1" applyFont="1" applyBorder="1" applyAlignment="1"/>
    <xf numFmtId="167" fontId="2" fillId="0" borderId="3" xfId="3" applyNumberFormat="1" applyFont="1" applyBorder="1"/>
    <xf numFmtId="167" fontId="2" fillId="0" borderId="16" xfId="3" applyNumberFormat="1" applyFont="1" applyBorder="1"/>
    <xf numFmtId="0" fontId="3" fillId="0" borderId="3" xfId="0" applyFont="1" applyBorder="1"/>
    <xf numFmtId="167" fontId="3" fillId="0" borderId="9" xfId="3" applyNumberFormat="1" applyFont="1" applyBorder="1"/>
    <xf numFmtId="167" fontId="0" fillId="0" borderId="0" xfId="0" applyNumberFormat="1"/>
    <xf numFmtId="167" fontId="2" fillId="0" borderId="0" xfId="3" applyNumberFormat="1" applyFont="1" applyBorder="1" applyAlignme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167" fontId="6" fillId="0" borderId="0" xfId="3" applyNumberFormat="1" applyFont="1"/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67" fontId="5" fillId="0" borderId="3" xfId="3" applyNumberFormat="1" applyFont="1" applyBorder="1"/>
    <xf numFmtId="0" fontId="5" fillId="0" borderId="4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167" fontId="5" fillId="0" borderId="16" xfId="3" applyNumberFormat="1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167" fontId="5" fillId="0" borderId="9" xfId="3" applyNumberFormat="1" applyFont="1" applyBorder="1"/>
    <xf numFmtId="167" fontId="5" fillId="0" borderId="0" xfId="3" applyNumberFormat="1" applyFont="1" applyBorder="1"/>
    <xf numFmtId="0" fontId="5" fillId="0" borderId="0" xfId="0" applyFont="1" applyFill="1" applyBorder="1"/>
    <xf numFmtId="167" fontId="5" fillId="0" borderId="0" xfId="3" applyNumberFormat="1" applyFont="1" applyBorder="1" applyAlignment="1">
      <alignment horizontal="center"/>
    </xf>
    <xf numFmtId="167" fontId="6" fillId="0" borderId="0" xfId="3" applyNumberFormat="1" applyFont="1" applyBorder="1"/>
    <xf numFmtId="0" fontId="6" fillId="0" borderId="0" xfId="0" applyFont="1" applyBorder="1"/>
    <xf numFmtId="167" fontId="6" fillId="0" borderId="21" xfId="3" applyNumberFormat="1" applyFont="1" applyBorder="1" applyAlignment="1"/>
    <xf numFmtId="0" fontId="5" fillId="0" borderId="11" xfId="0" applyFont="1" applyBorder="1"/>
    <xf numFmtId="0" fontId="5" fillId="0" borderId="18" xfId="0" applyFont="1" applyBorder="1"/>
    <xf numFmtId="167" fontId="5" fillId="0" borderId="0" xfId="3" applyNumberFormat="1" applyFont="1" applyBorder="1" applyAlignment="1"/>
    <xf numFmtId="0" fontId="5" fillId="0" borderId="3" xfId="0" applyFont="1" applyBorder="1"/>
    <xf numFmtId="0" fontId="6" fillId="0" borderId="0" xfId="0" applyFont="1" applyFill="1"/>
    <xf numFmtId="0" fontId="5" fillId="0" borderId="5" xfId="0" applyFont="1" applyFill="1" applyBorder="1"/>
    <xf numFmtId="167" fontId="5" fillId="0" borderId="6" xfId="3" applyNumberFormat="1" applyFont="1" applyBorder="1"/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/>
    <xf numFmtId="167" fontId="6" fillId="0" borderId="26" xfId="3" applyNumberFormat="1" applyFont="1" applyBorder="1"/>
    <xf numFmtId="167" fontId="6" fillId="0" borderId="10" xfId="3" applyNumberFormat="1" applyFont="1" applyBorder="1"/>
    <xf numFmtId="167" fontId="5" fillId="0" borderId="10" xfId="3" applyNumberFormat="1" applyFont="1" applyBorder="1"/>
    <xf numFmtId="167" fontId="6" fillId="0" borderId="24" xfId="3" applyNumberFormat="1" applyFont="1" applyFill="1" applyBorder="1"/>
    <xf numFmtId="169" fontId="6" fillId="0" borderId="26" xfId="1" applyNumberFormat="1" applyFont="1" applyBorder="1"/>
    <xf numFmtId="167" fontId="6" fillId="0" borderId="26" xfId="0" applyNumberFormat="1" applyFont="1" applyBorder="1"/>
    <xf numFmtId="169" fontId="6" fillId="0" borderId="10" xfId="1" applyNumberFormat="1" applyFont="1" applyBorder="1"/>
    <xf numFmtId="167" fontId="6" fillId="0" borderId="10" xfId="3" applyNumberFormat="1" applyFont="1" applyFill="1" applyBorder="1"/>
    <xf numFmtId="0" fontId="5" fillId="0" borderId="7" xfId="0" applyFont="1" applyBorder="1"/>
    <xf numFmtId="169" fontId="6" fillId="0" borderId="7" xfId="1" applyNumberFormat="1" applyFont="1" applyBorder="1"/>
    <xf numFmtId="167" fontId="5" fillId="0" borderId="12" xfId="3" applyNumberFormat="1" applyFont="1" applyBorder="1"/>
    <xf numFmtId="167" fontId="5" fillId="0" borderId="18" xfId="3" applyNumberFormat="1" applyFont="1" applyBorder="1"/>
    <xf numFmtId="167" fontId="5" fillId="0" borderId="11" xfId="3" applyNumberFormat="1" applyFont="1" applyBorder="1"/>
    <xf numFmtId="169" fontId="5" fillId="0" borderId="12" xfId="0" applyNumberFormat="1" applyFont="1" applyBorder="1"/>
    <xf numFmtId="169" fontId="5" fillId="0" borderId="0" xfId="0" applyNumberFormat="1" applyFont="1" applyBorder="1"/>
    <xf numFmtId="169" fontId="6" fillId="2" borderId="10" xfId="1" applyNumberFormat="1" applyFont="1" applyFill="1" applyBorder="1"/>
    <xf numFmtId="3" fontId="5" fillId="0" borderId="6" xfId="0" applyNumberFormat="1" applyFont="1" applyBorder="1"/>
    <xf numFmtId="167" fontId="6" fillId="0" borderId="27" xfId="3" applyNumberFormat="1" applyFont="1" applyBorder="1"/>
    <xf numFmtId="167" fontId="6" fillId="0" borderId="24" xfId="3" applyNumberFormat="1" applyFont="1" applyBorder="1"/>
    <xf numFmtId="164" fontId="6" fillId="0" borderId="0" xfId="2" applyFont="1"/>
    <xf numFmtId="167" fontId="6" fillId="0" borderId="0" xfId="0" applyNumberFormat="1" applyFont="1"/>
    <xf numFmtId="167" fontId="6" fillId="0" borderId="28" xfId="3" applyNumberFormat="1" applyFont="1" applyBorder="1"/>
    <xf numFmtId="167" fontId="5" fillId="0" borderId="3" xfId="3" applyNumberFormat="1" applyFont="1" applyBorder="1" applyAlignment="1">
      <alignment horizontal="center"/>
    </xf>
    <xf numFmtId="167" fontId="5" fillId="0" borderId="9" xfId="3" applyNumberFormat="1" applyFont="1" applyBorder="1" applyAlignment="1">
      <alignment horizontal="center"/>
    </xf>
    <xf numFmtId="167" fontId="5" fillId="0" borderId="19" xfId="3" applyNumberFormat="1" applyFont="1" applyBorder="1"/>
    <xf numFmtId="3" fontId="6" fillId="0" borderId="0" xfId="0" applyNumberFormat="1" applyFont="1"/>
    <xf numFmtId="164" fontId="6" fillId="0" borderId="0" xfId="2" applyFont="1" applyBorder="1"/>
    <xf numFmtId="164" fontId="5" fillId="0" borderId="0" xfId="2" applyFont="1" applyBorder="1"/>
    <xf numFmtId="3" fontId="5" fillId="0" borderId="29" xfId="0" applyNumberFormat="1" applyFont="1" applyBorder="1"/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7" fontId="5" fillId="0" borderId="31" xfId="3" applyNumberFormat="1" applyFont="1" applyBorder="1" applyAlignment="1">
      <alignment horizontal="center"/>
    </xf>
    <xf numFmtId="167" fontId="6" fillId="0" borderId="7" xfId="3" applyNumberFormat="1" applyFont="1" applyBorder="1"/>
    <xf numFmtId="0" fontId="7" fillId="0" borderId="26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70" fontId="7" fillId="0" borderId="10" xfId="0" applyNumberFormat="1" applyFont="1" applyBorder="1" applyAlignment="1">
      <alignment horizontal="center"/>
    </xf>
    <xf numFmtId="167" fontId="5" fillId="0" borderId="20" xfId="3" applyNumberFormat="1" applyFont="1" applyBorder="1"/>
    <xf numFmtId="167" fontId="5" fillId="0" borderId="16" xfId="3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169" fontId="6" fillId="0" borderId="28" xfId="1" applyNumberFormat="1" applyFont="1" applyBorder="1"/>
    <xf numFmtId="169" fontId="6" fillId="0" borderId="24" xfId="1" applyNumberFormat="1" applyFont="1" applyBorder="1"/>
    <xf numFmtId="169" fontId="6" fillId="0" borderId="25" xfId="1" applyNumberFormat="1" applyFont="1" applyBorder="1"/>
    <xf numFmtId="0" fontId="5" fillId="0" borderId="33" xfId="0" applyFont="1" applyBorder="1"/>
    <xf numFmtId="169" fontId="6" fillId="0" borderId="15" xfId="1" applyNumberFormat="1" applyFont="1" applyBorder="1"/>
    <xf numFmtId="169" fontId="5" fillId="0" borderId="29" xfId="1" applyNumberFormat="1" applyFont="1" applyBorder="1"/>
    <xf numFmtId="169" fontId="5" fillId="0" borderId="30" xfId="1" applyNumberFormat="1" applyFont="1" applyBorder="1"/>
    <xf numFmtId="169" fontId="5" fillId="0" borderId="33" xfId="1" applyNumberFormat="1" applyFont="1" applyBorder="1"/>
    <xf numFmtId="167" fontId="6" fillId="0" borderId="31" xfId="3" applyNumberFormat="1" applyFont="1" applyBorder="1" applyAlignment="1"/>
    <xf numFmtId="170" fontId="7" fillId="0" borderId="7" xfId="0" applyNumberFormat="1" applyFont="1" applyBorder="1" applyAlignment="1">
      <alignment horizontal="center"/>
    </xf>
    <xf numFmtId="167" fontId="5" fillId="0" borderId="12" xfId="3" applyNumberFormat="1" applyFont="1" applyBorder="1" applyAlignment="1"/>
    <xf numFmtId="0" fontId="5" fillId="0" borderId="11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4" xfId="0" applyFont="1" applyBorder="1" applyAlignment="1">
      <alignment horizontal="center"/>
    </xf>
  </cellXfs>
  <cellStyles count="4">
    <cellStyle name="Millares" xfId="1" builtinId="3"/>
    <cellStyle name="Millares [0]" xfId="2" builtinId="6"/>
    <cellStyle name="Millares_Hoja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K92"/>
  <sheetViews>
    <sheetView workbookViewId="0">
      <selection activeCell="E11" sqref="E11:E22"/>
    </sheetView>
  </sheetViews>
  <sheetFormatPr baseColWidth="10" defaultRowHeight="12.75" x14ac:dyDescent="0.2"/>
  <cols>
    <col min="1" max="1" width="11" customWidth="1"/>
    <col min="2" max="2" width="10" customWidth="1"/>
    <col min="3" max="3" width="10.85546875" customWidth="1"/>
    <col min="4" max="4" width="10.5703125" customWidth="1"/>
    <col min="5" max="5" width="10.140625" customWidth="1"/>
    <col min="6" max="6" width="10.42578125" customWidth="1"/>
    <col min="7" max="7" width="20.42578125" customWidth="1"/>
    <col min="9" max="9" width="0" hidden="1" customWidth="1"/>
  </cols>
  <sheetData>
    <row r="1" spans="1:11" x14ac:dyDescent="0.2">
      <c r="A1" s="1" t="s">
        <v>28</v>
      </c>
      <c r="B1" s="2"/>
      <c r="C1" s="2"/>
      <c r="D1" s="2"/>
      <c r="E1" s="2"/>
      <c r="F1" s="3"/>
      <c r="G1" s="2"/>
    </row>
    <row r="2" spans="1:11" ht="13.5" thickBot="1" x14ac:dyDescent="0.25">
      <c r="A2" s="2"/>
      <c r="B2" s="2"/>
      <c r="C2" s="2"/>
      <c r="D2" s="2"/>
      <c r="E2" s="2"/>
      <c r="F2" s="3"/>
      <c r="G2" s="2"/>
    </row>
    <row r="3" spans="1:11" x14ac:dyDescent="0.2">
      <c r="A3" s="4" t="s">
        <v>0</v>
      </c>
      <c r="B3" s="5"/>
      <c r="C3" s="5" t="s">
        <v>31</v>
      </c>
      <c r="D3" s="5"/>
      <c r="E3" s="5"/>
      <c r="F3" s="53"/>
      <c r="G3" s="2"/>
    </row>
    <row r="4" spans="1:11" x14ac:dyDescent="0.2">
      <c r="A4" s="8" t="s">
        <v>1</v>
      </c>
      <c r="B4" s="9"/>
      <c r="C4" s="9" t="s">
        <v>32</v>
      </c>
      <c r="D4" s="9"/>
      <c r="E4" s="9"/>
      <c r="F4" s="54"/>
      <c r="G4" s="2"/>
    </row>
    <row r="5" spans="1:11" ht="13.5" thickBot="1" x14ac:dyDescent="0.25">
      <c r="A5" s="10" t="s">
        <v>2</v>
      </c>
      <c r="B5" s="11"/>
      <c r="C5" s="11" t="s">
        <v>33</v>
      </c>
      <c r="D5" s="11"/>
      <c r="E5" s="11"/>
      <c r="F5" s="24"/>
      <c r="G5" s="2"/>
    </row>
    <row r="6" spans="1:11" x14ac:dyDescent="0.2">
      <c r="A6" s="9"/>
      <c r="B6" s="9"/>
      <c r="C6" s="9"/>
      <c r="D6" s="9"/>
      <c r="E6" s="9"/>
      <c r="F6" s="7"/>
      <c r="G6" s="2"/>
    </row>
    <row r="8" spans="1:11" ht="13.5" thickBot="1" x14ac:dyDescent="0.25">
      <c r="A8" s="12"/>
      <c r="B8" s="9"/>
      <c r="C8" s="7"/>
      <c r="D8" s="7"/>
      <c r="E8" s="13"/>
      <c r="F8" s="13"/>
      <c r="G8" s="14"/>
    </row>
    <row r="9" spans="1:11" ht="13.5" thickBot="1" x14ac:dyDescent="0.25">
      <c r="A9" s="38" t="s">
        <v>3</v>
      </c>
      <c r="B9" s="39" t="s">
        <v>4</v>
      </c>
      <c r="C9" s="47" t="s">
        <v>5</v>
      </c>
      <c r="D9" s="39" t="s">
        <v>6</v>
      </c>
      <c r="E9" s="43" t="s">
        <v>7</v>
      </c>
      <c r="F9" s="39" t="s">
        <v>29</v>
      </c>
      <c r="G9" s="39" t="s">
        <v>8</v>
      </c>
    </row>
    <row r="10" spans="1:11" ht="13.5" thickBot="1" x14ac:dyDescent="0.25">
      <c r="A10" s="40"/>
      <c r="B10" s="51" t="s">
        <v>9</v>
      </c>
      <c r="C10" s="48" t="s">
        <v>10</v>
      </c>
      <c r="D10" s="41" t="s">
        <v>11</v>
      </c>
      <c r="E10" s="44" t="s">
        <v>12</v>
      </c>
      <c r="F10" s="41" t="s">
        <v>30</v>
      </c>
      <c r="G10" s="41" t="s">
        <v>13</v>
      </c>
    </row>
    <row r="11" spans="1:11" x14ac:dyDescent="0.2">
      <c r="A11" s="49" t="s">
        <v>14</v>
      </c>
      <c r="B11" s="52">
        <f>B42+B61+B80</f>
        <v>200000</v>
      </c>
      <c r="C11" s="25">
        <f>C42+C61+C80</f>
        <v>38280</v>
      </c>
      <c r="D11" s="42">
        <f>D42+D61+D80</f>
        <v>161720</v>
      </c>
      <c r="E11" s="45">
        <v>1.024</v>
      </c>
      <c r="F11" s="42">
        <f>F42+F61+F80</f>
        <v>204800</v>
      </c>
      <c r="G11" s="42">
        <f t="shared" ref="G11:G22" si="0">G42+G61+G80</f>
        <v>165601.28</v>
      </c>
    </row>
    <row r="12" spans="1:11" x14ac:dyDescent="0.2">
      <c r="A12" s="49" t="s">
        <v>15</v>
      </c>
      <c r="B12" s="52">
        <f t="shared" ref="B12:C22" si="1">B43+B62+B81</f>
        <v>200000</v>
      </c>
      <c r="C12" s="25">
        <f t="shared" si="1"/>
        <v>38280</v>
      </c>
      <c r="D12" s="42">
        <f t="shared" ref="D12:D22" si="2">D43+D62+D81</f>
        <v>161720</v>
      </c>
      <c r="E12" s="45">
        <v>1.022</v>
      </c>
      <c r="F12" s="42">
        <f t="shared" ref="F12:F22" si="3">F43+F62+F81</f>
        <v>204400</v>
      </c>
      <c r="G12" s="42">
        <f t="shared" si="0"/>
        <v>165277.84</v>
      </c>
    </row>
    <row r="13" spans="1:11" x14ac:dyDescent="0.2">
      <c r="A13" s="49" t="s">
        <v>16</v>
      </c>
      <c r="B13" s="52">
        <f t="shared" si="1"/>
        <v>200000</v>
      </c>
      <c r="C13" s="25">
        <f t="shared" si="1"/>
        <v>38280</v>
      </c>
      <c r="D13" s="42">
        <f t="shared" si="2"/>
        <v>161720</v>
      </c>
      <c r="E13" s="45">
        <v>1.0209999999999999</v>
      </c>
      <c r="F13" s="42">
        <f t="shared" si="3"/>
        <v>204199.99999999997</v>
      </c>
      <c r="G13" s="42">
        <f t="shared" si="0"/>
        <v>165116.12</v>
      </c>
    </row>
    <row r="14" spans="1:11" x14ac:dyDescent="0.2">
      <c r="A14" s="49" t="s">
        <v>17</v>
      </c>
      <c r="B14" s="52">
        <f t="shared" si="1"/>
        <v>200000</v>
      </c>
      <c r="C14" s="25">
        <f t="shared" si="1"/>
        <v>38280</v>
      </c>
      <c r="D14" s="42">
        <f t="shared" si="2"/>
        <v>161720</v>
      </c>
      <c r="E14" s="45">
        <v>1.0169999999999999</v>
      </c>
      <c r="F14" s="42">
        <f t="shared" si="3"/>
        <v>203399.99999999997</v>
      </c>
      <c r="G14" s="42">
        <f t="shared" si="0"/>
        <v>164469.24</v>
      </c>
    </row>
    <row r="15" spans="1:11" x14ac:dyDescent="0.2">
      <c r="A15" s="49" t="s">
        <v>18</v>
      </c>
      <c r="B15" s="52">
        <f t="shared" si="1"/>
        <v>450000</v>
      </c>
      <c r="C15" s="25">
        <f t="shared" si="1"/>
        <v>86130</v>
      </c>
      <c r="D15" s="42">
        <f t="shared" si="2"/>
        <v>363870</v>
      </c>
      <c r="E15" s="45">
        <v>1.022</v>
      </c>
      <c r="F15" s="42">
        <f t="shared" si="3"/>
        <v>459900</v>
      </c>
      <c r="G15" s="42">
        <f t="shared" si="0"/>
        <v>371875.14</v>
      </c>
      <c r="K15" s="57"/>
    </row>
    <row r="16" spans="1:11" x14ac:dyDescent="0.2">
      <c r="A16" s="49" t="s">
        <v>19</v>
      </c>
      <c r="B16" s="52">
        <f t="shared" si="1"/>
        <v>450000</v>
      </c>
      <c r="C16" s="25">
        <f t="shared" si="1"/>
        <v>86130</v>
      </c>
      <c r="D16" s="42">
        <f t="shared" si="2"/>
        <v>363870</v>
      </c>
      <c r="E16" s="45">
        <v>1.022</v>
      </c>
      <c r="F16" s="42">
        <f t="shared" si="3"/>
        <v>459900</v>
      </c>
      <c r="G16" s="42">
        <f t="shared" si="0"/>
        <v>371875.14</v>
      </c>
    </row>
    <row r="17" spans="1:7" x14ac:dyDescent="0.2">
      <c r="A17" s="49" t="s">
        <v>20</v>
      </c>
      <c r="B17" s="52">
        <f t="shared" si="1"/>
        <v>450000</v>
      </c>
      <c r="C17" s="25">
        <f t="shared" si="1"/>
        <v>86130</v>
      </c>
      <c r="D17" s="42">
        <f t="shared" si="2"/>
        <v>363870</v>
      </c>
      <c r="E17" s="45">
        <v>1.016</v>
      </c>
      <c r="F17" s="42">
        <f t="shared" si="3"/>
        <v>457200</v>
      </c>
      <c r="G17" s="42">
        <f t="shared" si="0"/>
        <v>369691.92</v>
      </c>
    </row>
    <row r="18" spans="1:7" x14ac:dyDescent="0.2">
      <c r="A18" s="49" t="s">
        <v>21</v>
      </c>
      <c r="B18" s="52">
        <f t="shared" si="1"/>
        <v>450000</v>
      </c>
      <c r="C18" s="25">
        <f t="shared" si="1"/>
        <v>86130</v>
      </c>
      <c r="D18" s="42">
        <f t="shared" si="2"/>
        <v>363870</v>
      </c>
      <c r="E18" s="45">
        <v>1.0129999999999999</v>
      </c>
      <c r="F18" s="42">
        <f t="shared" si="3"/>
        <v>455849.99999999994</v>
      </c>
      <c r="G18" s="42">
        <f t="shared" si="0"/>
        <v>368600.30999999994</v>
      </c>
    </row>
    <row r="19" spans="1:7" x14ac:dyDescent="0.2">
      <c r="A19" s="49" t="s">
        <v>22</v>
      </c>
      <c r="B19" s="52">
        <f t="shared" si="1"/>
        <v>450000</v>
      </c>
      <c r="C19" s="25">
        <f t="shared" si="1"/>
        <v>86130</v>
      </c>
      <c r="D19" s="42">
        <f t="shared" si="2"/>
        <v>363870</v>
      </c>
      <c r="E19" s="45">
        <v>1.0109999999999999</v>
      </c>
      <c r="F19" s="42">
        <f t="shared" si="3"/>
        <v>454949.99999999994</v>
      </c>
      <c r="G19" s="42">
        <f t="shared" si="0"/>
        <v>367872.56999999995</v>
      </c>
    </row>
    <row r="20" spans="1:7" x14ac:dyDescent="0.2">
      <c r="A20" s="49" t="s">
        <v>23</v>
      </c>
      <c r="B20" s="52">
        <f t="shared" si="1"/>
        <v>150000</v>
      </c>
      <c r="C20" s="25">
        <f t="shared" si="1"/>
        <v>28710</v>
      </c>
      <c r="D20" s="42">
        <f t="shared" si="2"/>
        <v>121290</v>
      </c>
      <c r="E20" s="45">
        <v>1.0049999999999999</v>
      </c>
      <c r="F20" s="42">
        <f t="shared" si="3"/>
        <v>150749.99999999997</v>
      </c>
      <c r="G20" s="42">
        <f t="shared" si="0"/>
        <v>121896.44999999998</v>
      </c>
    </row>
    <row r="21" spans="1:7" x14ac:dyDescent="0.2">
      <c r="A21" s="49" t="s">
        <v>24</v>
      </c>
      <c r="B21" s="52">
        <f t="shared" si="1"/>
        <v>0</v>
      </c>
      <c r="C21" s="25">
        <f t="shared" si="1"/>
        <v>0</v>
      </c>
      <c r="D21" s="42">
        <f t="shared" si="2"/>
        <v>0</v>
      </c>
      <c r="E21" s="46">
        <v>1.004</v>
      </c>
      <c r="F21" s="42">
        <f t="shared" si="3"/>
        <v>0</v>
      </c>
      <c r="G21" s="42">
        <f t="shared" si="0"/>
        <v>0</v>
      </c>
    </row>
    <row r="22" spans="1:7" ht="13.5" thickBot="1" x14ac:dyDescent="0.25">
      <c r="A22" s="50" t="s">
        <v>25</v>
      </c>
      <c r="B22" s="52">
        <f t="shared" si="1"/>
        <v>525000</v>
      </c>
      <c r="C22" s="25">
        <f t="shared" si="1"/>
        <v>97336</v>
      </c>
      <c r="D22" s="42">
        <f t="shared" si="2"/>
        <v>427664</v>
      </c>
      <c r="E22" s="46">
        <v>1</v>
      </c>
      <c r="F22" s="42">
        <f t="shared" si="3"/>
        <v>525000</v>
      </c>
      <c r="G22" s="42">
        <f t="shared" si="0"/>
        <v>427664</v>
      </c>
    </row>
    <row r="23" spans="1:7" ht="13.5" thickBot="1" x14ac:dyDescent="0.25">
      <c r="A23" s="20" t="s">
        <v>26</v>
      </c>
      <c r="B23" s="37">
        <f>SUM(B11:B22)</f>
        <v>3725000</v>
      </c>
      <c r="C23" s="36">
        <f>SUM(C11:C22)</f>
        <v>709816</v>
      </c>
      <c r="D23" s="21">
        <f>SUM(D11:D22)</f>
        <v>3015184</v>
      </c>
      <c r="E23" s="21">
        <v>0</v>
      </c>
      <c r="F23" s="21">
        <f>SUM(F11:F22)</f>
        <v>3780350</v>
      </c>
      <c r="G23" s="21">
        <f>SUM(G11:G22)</f>
        <v>3059940.01</v>
      </c>
    </row>
    <row r="24" spans="1:7" x14ac:dyDescent="0.2">
      <c r="A24" s="9"/>
      <c r="B24" s="58"/>
      <c r="C24" s="7"/>
      <c r="D24" s="7"/>
      <c r="E24" s="7"/>
      <c r="F24" s="7"/>
      <c r="G24" s="7"/>
    </row>
    <row r="25" spans="1:7" x14ac:dyDescent="0.2">
      <c r="A25" s="9"/>
      <c r="B25" s="58"/>
      <c r="C25" s="7"/>
      <c r="D25" s="7"/>
      <c r="E25" s="7"/>
      <c r="F25" s="7"/>
      <c r="G25" s="7"/>
    </row>
    <row r="26" spans="1:7" x14ac:dyDescent="0.2">
      <c r="A26" s="9"/>
      <c r="B26" s="58"/>
      <c r="C26" s="7"/>
      <c r="D26" s="7"/>
      <c r="E26" s="7"/>
      <c r="F26" s="7"/>
      <c r="G26" s="7"/>
    </row>
    <row r="27" spans="1:7" x14ac:dyDescent="0.2">
      <c r="A27" s="9"/>
      <c r="B27" s="58"/>
      <c r="C27" s="7"/>
      <c r="D27" s="7"/>
      <c r="E27" s="7"/>
      <c r="F27" s="7"/>
      <c r="G27" s="7"/>
    </row>
    <row r="28" spans="1:7" x14ac:dyDescent="0.2">
      <c r="A28" s="9"/>
      <c r="B28" s="58"/>
      <c r="C28" s="7"/>
      <c r="D28" s="7"/>
      <c r="E28" s="7"/>
      <c r="F28" s="7"/>
      <c r="G28" s="7"/>
    </row>
    <row r="29" spans="1:7" x14ac:dyDescent="0.2">
      <c r="A29" s="9"/>
      <c r="B29" s="58"/>
      <c r="C29" s="7"/>
      <c r="D29" s="7"/>
      <c r="E29" s="7"/>
      <c r="F29" s="7"/>
      <c r="G29" s="7"/>
    </row>
    <row r="30" spans="1:7" x14ac:dyDescent="0.2">
      <c r="A30" s="9"/>
      <c r="B30" s="58"/>
      <c r="C30" s="7"/>
      <c r="D30" s="7"/>
      <c r="E30" s="7"/>
      <c r="F30" s="7"/>
      <c r="G30" s="7"/>
    </row>
    <row r="31" spans="1:7" x14ac:dyDescent="0.2">
      <c r="A31" s="9"/>
      <c r="B31" s="58"/>
      <c r="C31" s="7"/>
      <c r="D31" s="7"/>
      <c r="E31" s="7"/>
      <c r="F31" s="7"/>
      <c r="G31" s="7"/>
    </row>
    <row r="32" spans="1:7" x14ac:dyDescent="0.2">
      <c r="A32" s="9"/>
      <c r="B32" s="58"/>
      <c r="C32" s="7"/>
      <c r="D32" s="7"/>
      <c r="E32" s="7"/>
      <c r="F32" s="7"/>
      <c r="G32" s="7"/>
    </row>
    <row r="33" spans="1:7" x14ac:dyDescent="0.2">
      <c r="A33" s="9"/>
      <c r="B33" s="58"/>
      <c r="C33" s="7"/>
      <c r="D33" s="7"/>
      <c r="E33" s="7"/>
      <c r="F33" s="7"/>
      <c r="G33" s="7"/>
    </row>
    <row r="34" spans="1:7" x14ac:dyDescent="0.2">
      <c r="A34" s="9"/>
      <c r="B34" s="58"/>
      <c r="C34" s="7"/>
      <c r="D34" s="7"/>
      <c r="E34" s="7"/>
      <c r="F34" s="7"/>
      <c r="G34" s="7"/>
    </row>
    <row r="35" spans="1:7" x14ac:dyDescent="0.2">
      <c r="A35" s="9"/>
      <c r="B35" s="58"/>
      <c r="C35" s="7"/>
      <c r="D35" s="7"/>
      <c r="E35" s="7"/>
      <c r="F35" s="7"/>
      <c r="G35" s="7"/>
    </row>
    <row r="36" spans="1:7" x14ac:dyDescent="0.2">
      <c r="A36" s="9"/>
      <c r="B36" s="58"/>
      <c r="C36" s="7"/>
      <c r="D36" s="7"/>
      <c r="E36" s="7"/>
      <c r="F36" s="7"/>
      <c r="G36" s="7"/>
    </row>
    <row r="37" spans="1:7" ht="13.5" thickBot="1" x14ac:dyDescent="0.25">
      <c r="A37" s="9"/>
      <c r="B37" s="58"/>
      <c r="C37" s="7"/>
      <c r="D37" s="7"/>
      <c r="E37" s="7"/>
      <c r="F37" s="7"/>
      <c r="G37" s="7"/>
    </row>
    <row r="38" spans="1:7" x14ac:dyDescent="0.2">
      <c r="A38" s="4" t="s">
        <v>27</v>
      </c>
      <c r="B38" s="5" t="s">
        <v>34</v>
      </c>
      <c r="C38" s="5"/>
      <c r="D38" s="5"/>
      <c r="E38" s="55"/>
      <c r="F38" s="3"/>
      <c r="G38" s="2">
        <v>1</v>
      </c>
    </row>
    <row r="39" spans="1:7" ht="13.5" thickBot="1" x14ac:dyDescent="0.25">
      <c r="A39" s="22" t="s">
        <v>1</v>
      </c>
      <c r="B39" s="11" t="s">
        <v>35</v>
      </c>
      <c r="C39" s="23"/>
      <c r="D39" s="23"/>
      <c r="E39" s="56"/>
      <c r="F39" s="25"/>
      <c r="G39" s="26"/>
    </row>
    <row r="40" spans="1:7" x14ac:dyDescent="0.2">
      <c r="A40" s="27" t="s">
        <v>3</v>
      </c>
      <c r="B40" s="28" t="s">
        <v>4</v>
      </c>
      <c r="C40" s="28" t="s">
        <v>5</v>
      </c>
      <c r="D40" s="28" t="s">
        <v>6</v>
      </c>
      <c r="E40" s="29" t="s">
        <v>7</v>
      </c>
      <c r="F40" s="15" t="s">
        <v>29</v>
      </c>
      <c r="G40" s="30" t="s">
        <v>8</v>
      </c>
    </row>
    <row r="41" spans="1:7" ht="13.5" thickBot="1" x14ac:dyDescent="0.25">
      <c r="A41" s="31"/>
      <c r="B41" s="28" t="s">
        <v>9</v>
      </c>
      <c r="C41" s="16" t="s">
        <v>10</v>
      </c>
      <c r="D41" s="16" t="s">
        <v>11</v>
      </c>
      <c r="E41" s="32" t="s">
        <v>12</v>
      </c>
      <c r="F41" s="16" t="s">
        <v>30</v>
      </c>
      <c r="G41" s="17" t="s">
        <v>13</v>
      </c>
    </row>
    <row r="42" spans="1:7" x14ac:dyDescent="0.2">
      <c r="A42" s="18" t="s">
        <v>14</v>
      </c>
      <c r="B42" s="33">
        <v>200000</v>
      </c>
      <c r="C42" s="33">
        <v>38280</v>
      </c>
      <c r="D42" s="33">
        <f>B42-C42</f>
        <v>161720</v>
      </c>
      <c r="E42" s="45">
        <v>1.024</v>
      </c>
      <c r="F42" s="34">
        <f>B42*E42</f>
        <v>204800</v>
      </c>
      <c r="G42" s="35">
        <f>D42*E42</f>
        <v>165601.28</v>
      </c>
    </row>
    <row r="43" spans="1:7" x14ac:dyDescent="0.2">
      <c r="A43" s="18" t="s">
        <v>15</v>
      </c>
      <c r="B43" s="33">
        <v>200000</v>
      </c>
      <c r="C43" s="33">
        <v>38280</v>
      </c>
      <c r="D43" s="33">
        <f t="shared" ref="D43:D53" si="4">B43-C43</f>
        <v>161720</v>
      </c>
      <c r="E43" s="45">
        <v>1.022</v>
      </c>
      <c r="F43" s="34">
        <f t="shared" ref="F43:F53" si="5">B43*E43</f>
        <v>204400</v>
      </c>
      <c r="G43" s="35">
        <f t="shared" ref="G43:G53" si="6">D43*E43</f>
        <v>165277.84</v>
      </c>
    </row>
    <row r="44" spans="1:7" x14ac:dyDescent="0.2">
      <c r="A44" s="18" t="s">
        <v>16</v>
      </c>
      <c r="B44" s="33">
        <v>200000</v>
      </c>
      <c r="C44" s="33">
        <v>38280</v>
      </c>
      <c r="D44" s="33">
        <f t="shared" si="4"/>
        <v>161720</v>
      </c>
      <c r="E44" s="45">
        <v>1.0209999999999999</v>
      </c>
      <c r="F44" s="34">
        <f t="shared" si="5"/>
        <v>204199.99999999997</v>
      </c>
      <c r="G44" s="35">
        <f t="shared" si="6"/>
        <v>165116.12</v>
      </c>
    </row>
    <row r="45" spans="1:7" x14ac:dyDescent="0.2">
      <c r="A45" s="18" t="s">
        <v>17</v>
      </c>
      <c r="B45" s="33">
        <v>200000</v>
      </c>
      <c r="C45" s="33">
        <v>38280</v>
      </c>
      <c r="D45" s="33">
        <f t="shared" si="4"/>
        <v>161720</v>
      </c>
      <c r="E45" s="45">
        <v>1.0169999999999999</v>
      </c>
      <c r="F45" s="34">
        <f t="shared" si="5"/>
        <v>203399.99999999997</v>
      </c>
      <c r="G45" s="35">
        <f t="shared" si="6"/>
        <v>164469.24</v>
      </c>
    </row>
    <row r="46" spans="1:7" x14ac:dyDescent="0.2">
      <c r="A46" s="18" t="s">
        <v>18</v>
      </c>
      <c r="B46" s="33">
        <v>450000</v>
      </c>
      <c r="C46" s="33">
        <v>86130</v>
      </c>
      <c r="D46" s="33">
        <f t="shared" si="4"/>
        <v>363870</v>
      </c>
      <c r="E46" s="45">
        <v>1.022</v>
      </c>
      <c r="F46" s="34">
        <f t="shared" si="5"/>
        <v>459900</v>
      </c>
      <c r="G46" s="35">
        <f t="shared" si="6"/>
        <v>371875.14</v>
      </c>
    </row>
    <row r="47" spans="1:7" x14ac:dyDescent="0.2">
      <c r="A47" s="18" t="s">
        <v>19</v>
      </c>
      <c r="B47" s="33">
        <v>450000</v>
      </c>
      <c r="C47" s="33">
        <v>86130</v>
      </c>
      <c r="D47" s="33">
        <f t="shared" si="4"/>
        <v>363870</v>
      </c>
      <c r="E47" s="45">
        <v>1.022</v>
      </c>
      <c r="F47" s="34">
        <f t="shared" si="5"/>
        <v>459900</v>
      </c>
      <c r="G47" s="35">
        <f t="shared" si="6"/>
        <v>371875.14</v>
      </c>
    </row>
    <row r="48" spans="1:7" x14ac:dyDescent="0.2">
      <c r="A48" s="18" t="s">
        <v>20</v>
      </c>
      <c r="B48" s="33">
        <v>450000</v>
      </c>
      <c r="C48" s="33">
        <v>86130</v>
      </c>
      <c r="D48" s="33">
        <f t="shared" si="4"/>
        <v>363870</v>
      </c>
      <c r="E48" s="45">
        <v>1.016</v>
      </c>
      <c r="F48" s="34">
        <f t="shared" si="5"/>
        <v>457200</v>
      </c>
      <c r="G48" s="35">
        <f t="shared" si="6"/>
        <v>369691.92</v>
      </c>
    </row>
    <row r="49" spans="1:7" x14ac:dyDescent="0.2">
      <c r="A49" s="18" t="s">
        <v>21</v>
      </c>
      <c r="B49" s="33">
        <v>450000</v>
      </c>
      <c r="C49" s="33">
        <v>86130</v>
      </c>
      <c r="D49" s="33">
        <f t="shared" si="4"/>
        <v>363870</v>
      </c>
      <c r="E49" s="45">
        <v>1.0129999999999999</v>
      </c>
      <c r="F49" s="34">
        <f t="shared" si="5"/>
        <v>455849.99999999994</v>
      </c>
      <c r="G49" s="35">
        <f t="shared" si="6"/>
        <v>368600.30999999994</v>
      </c>
    </row>
    <row r="50" spans="1:7" x14ac:dyDescent="0.2">
      <c r="A50" s="18" t="s">
        <v>22</v>
      </c>
      <c r="B50" s="33">
        <v>450000</v>
      </c>
      <c r="C50" s="33">
        <v>86130</v>
      </c>
      <c r="D50" s="33">
        <f t="shared" si="4"/>
        <v>363870</v>
      </c>
      <c r="E50" s="45">
        <v>1.0109999999999999</v>
      </c>
      <c r="F50" s="34">
        <f t="shared" si="5"/>
        <v>454949.99999999994</v>
      </c>
      <c r="G50" s="35">
        <f t="shared" si="6"/>
        <v>367872.56999999995</v>
      </c>
    </row>
    <row r="51" spans="1:7" x14ac:dyDescent="0.2">
      <c r="A51" s="18" t="s">
        <v>23</v>
      </c>
      <c r="B51" s="33">
        <v>150000</v>
      </c>
      <c r="C51" s="33">
        <v>28710</v>
      </c>
      <c r="D51" s="33">
        <f t="shared" si="4"/>
        <v>121290</v>
      </c>
      <c r="E51" s="45">
        <v>1.0049999999999999</v>
      </c>
      <c r="F51" s="34">
        <f t="shared" si="5"/>
        <v>150749.99999999997</v>
      </c>
      <c r="G51" s="35">
        <f t="shared" si="6"/>
        <v>121896.44999999998</v>
      </c>
    </row>
    <row r="52" spans="1:7" x14ac:dyDescent="0.2">
      <c r="A52" s="18" t="s">
        <v>24</v>
      </c>
      <c r="B52" s="33">
        <v>0</v>
      </c>
      <c r="C52" s="33"/>
      <c r="D52" s="33">
        <f t="shared" si="4"/>
        <v>0</v>
      </c>
      <c r="E52" s="46">
        <v>1.004</v>
      </c>
      <c r="F52" s="34">
        <f t="shared" si="5"/>
        <v>0</v>
      </c>
      <c r="G52" s="35">
        <f t="shared" si="6"/>
        <v>0</v>
      </c>
    </row>
    <row r="53" spans="1:7" ht="13.5" thickBot="1" x14ac:dyDescent="0.25">
      <c r="A53" s="19" t="s">
        <v>25</v>
      </c>
      <c r="B53" s="33">
        <v>0</v>
      </c>
      <c r="C53" s="33"/>
      <c r="D53" s="33">
        <f t="shared" si="4"/>
        <v>0</v>
      </c>
      <c r="E53" s="46">
        <v>1</v>
      </c>
      <c r="F53" s="34">
        <f t="shared" si="5"/>
        <v>0</v>
      </c>
      <c r="G53" s="35">
        <f t="shared" si="6"/>
        <v>0</v>
      </c>
    </row>
    <row r="54" spans="1:7" ht="13.5" thickBot="1" x14ac:dyDescent="0.25">
      <c r="A54" s="20" t="s">
        <v>26</v>
      </c>
      <c r="B54" s="21">
        <f>SUM(B42:B53)</f>
        <v>3200000</v>
      </c>
      <c r="C54" s="36">
        <f>SUM(C42:C53)</f>
        <v>612480</v>
      </c>
      <c r="D54" s="21">
        <f>SUM(D42:D53)</f>
        <v>2587520</v>
      </c>
      <c r="E54" s="21"/>
      <c r="F54" s="21">
        <f>SUM(F42:F53)</f>
        <v>3255350</v>
      </c>
      <c r="G54" s="21">
        <f>SUM(G42:G53)</f>
        <v>2632276.0099999998</v>
      </c>
    </row>
    <row r="56" spans="1:7" ht="13.5" thickBot="1" x14ac:dyDescent="0.25"/>
    <row r="57" spans="1:7" x14ac:dyDescent="0.2">
      <c r="A57" s="4" t="s">
        <v>27</v>
      </c>
      <c r="B57" s="5" t="s">
        <v>36</v>
      </c>
      <c r="C57" s="5"/>
      <c r="D57" s="6"/>
      <c r="E57" s="2"/>
      <c r="F57" s="3"/>
      <c r="G57" s="2">
        <v>2</v>
      </c>
    </row>
    <row r="58" spans="1:7" ht="13.5" thickBot="1" x14ac:dyDescent="0.25">
      <c r="A58" s="22" t="s">
        <v>1</v>
      </c>
      <c r="B58" s="11" t="s">
        <v>37</v>
      </c>
      <c r="C58" s="23"/>
      <c r="D58" s="24"/>
      <c r="E58" s="25"/>
      <c r="F58" s="25"/>
      <c r="G58" s="26"/>
    </row>
    <row r="59" spans="1:7" x14ac:dyDescent="0.2">
      <c r="A59" s="27" t="s">
        <v>3</v>
      </c>
      <c r="B59" s="28" t="s">
        <v>4</v>
      </c>
      <c r="C59" s="28" t="s">
        <v>5</v>
      </c>
      <c r="D59" s="28" t="s">
        <v>6</v>
      </c>
      <c r="E59" s="29" t="s">
        <v>7</v>
      </c>
      <c r="F59" s="15" t="s">
        <v>29</v>
      </c>
      <c r="G59" s="30" t="s">
        <v>8</v>
      </c>
    </row>
    <row r="60" spans="1:7" ht="13.5" thickBot="1" x14ac:dyDescent="0.25">
      <c r="A60" s="31"/>
      <c r="B60" s="28" t="s">
        <v>9</v>
      </c>
      <c r="C60" s="16" t="s">
        <v>10</v>
      </c>
      <c r="D60" s="16" t="s">
        <v>11</v>
      </c>
      <c r="E60" s="32" t="s">
        <v>12</v>
      </c>
      <c r="F60" s="16" t="s">
        <v>30</v>
      </c>
      <c r="G60" s="17" t="s">
        <v>13</v>
      </c>
    </row>
    <row r="61" spans="1:7" x14ac:dyDescent="0.2">
      <c r="A61" s="18" t="s">
        <v>14</v>
      </c>
      <c r="B61" s="33"/>
      <c r="C61" s="33"/>
      <c r="D61" s="33">
        <f>B61-C61</f>
        <v>0</v>
      </c>
      <c r="E61" s="45">
        <v>1.024</v>
      </c>
      <c r="F61" s="34">
        <f>B61*E61</f>
        <v>0</v>
      </c>
      <c r="G61" s="35">
        <f>D61*E61</f>
        <v>0</v>
      </c>
    </row>
    <row r="62" spans="1:7" x14ac:dyDescent="0.2">
      <c r="A62" s="18" t="s">
        <v>15</v>
      </c>
      <c r="B62" s="33"/>
      <c r="C62" s="33"/>
      <c r="D62" s="33">
        <f t="shared" ref="D62:D72" si="7">B62-C62</f>
        <v>0</v>
      </c>
      <c r="E62" s="45">
        <v>1.022</v>
      </c>
      <c r="F62" s="34">
        <f t="shared" ref="F62:F72" si="8">B62*E62</f>
        <v>0</v>
      </c>
      <c r="G62" s="35">
        <f t="shared" ref="G62:G72" si="9">D62*E62</f>
        <v>0</v>
      </c>
    </row>
    <row r="63" spans="1:7" x14ac:dyDescent="0.2">
      <c r="A63" s="18" t="s">
        <v>16</v>
      </c>
      <c r="B63" s="33"/>
      <c r="C63" s="33"/>
      <c r="D63" s="33">
        <f t="shared" si="7"/>
        <v>0</v>
      </c>
      <c r="E63" s="45">
        <v>1.0209999999999999</v>
      </c>
      <c r="F63" s="34">
        <f t="shared" si="8"/>
        <v>0</v>
      </c>
      <c r="G63" s="35">
        <f t="shared" si="9"/>
        <v>0</v>
      </c>
    </row>
    <row r="64" spans="1:7" x14ac:dyDescent="0.2">
      <c r="A64" s="18" t="s">
        <v>17</v>
      </c>
      <c r="B64" s="33"/>
      <c r="C64" s="33"/>
      <c r="D64" s="33">
        <f t="shared" si="7"/>
        <v>0</v>
      </c>
      <c r="E64" s="45">
        <v>1.0169999999999999</v>
      </c>
      <c r="F64" s="34">
        <f t="shared" si="8"/>
        <v>0</v>
      </c>
      <c r="G64" s="35">
        <f t="shared" si="9"/>
        <v>0</v>
      </c>
    </row>
    <row r="65" spans="1:7" x14ac:dyDescent="0.2">
      <c r="A65" s="18" t="s">
        <v>18</v>
      </c>
      <c r="B65" s="33"/>
      <c r="C65" s="33"/>
      <c r="D65" s="33">
        <f t="shared" si="7"/>
        <v>0</v>
      </c>
      <c r="E65" s="45">
        <v>1.022</v>
      </c>
      <c r="F65" s="34">
        <f t="shared" si="8"/>
        <v>0</v>
      </c>
      <c r="G65" s="35">
        <f t="shared" si="9"/>
        <v>0</v>
      </c>
    </row>
    <row r="66" spans="1:7" x14ac:dyDescent="0.2">
      <c r="A66" s="18" t="s">
        <v>19</v>
      </c>
      <c r="B66" s="33"/>
      <c r="C66" s="33"/>
      <c r="D66" s="33">
        <f t="shared" si="7"/>
        <v>0</v>
      </c>
      <c r="E66" s="45">
        <v>1.022</v>
      </c>
      <c r="F66" s="34">
        <f t="shared" si="8"/>
        <v>0</v>
      </c>
      <c r="G66" s="35">
        <f t="shared" si="9"/>
        <v>0</v>
      </c>
    </row>
    <row r="67" spans="1:7" x14ac:dyDescent="0.2">
      <c r="A67" s="18" t="s">
        <v>20</v>
      </c>
      <c r="B67" s="33"/>
      <c r="C67" s="33"/>
      <c r="D67" s="33">
        <f t="shared" si="7"/>
        <v>0</v>
      </c>
      <c r="E67" s="45">
        <v>1.016</v>
      </c>
      <c r="F67" s="34">
        <f t="shared" si="8"/>
        <v>0</v>
      </c>
      <c r="G67" s="35">
        <f t="shared" si="9"/>
        <v>0</v>
      </c>
    </row>
    <row r="68" spans="1:7" x14ac:dyDescent="0.2">
      <c r="A68" s="18" t="s">
        <v>21</v>
      </c>
      <c r="B68" s="33"/>
      <c r="C68" s="33"/>
      <c r="D68" s="33">
        <f t="shared" si="7"/>
        <v>0</v>
      </c>
      <c r="E68" s="45">
        <v>1.0129999999999999</v>
      </c>
      <c r="F68" s="34">
        <f t="shared" si="8"/>
        <v>0</v>
      </c>
      <c r="G68" s="35">
        <f t="shared" si="9"/>
        <v>0</v>
      </c>
    </row>
    <row r="69" spans="1:7" x14ac:dyDescent="0.2">
      <c r="A69" s="18" t="s">
        <v>22</v>
      </c>
      <c r="B69" s="33"/>
      <c r="C69" s="33"/>
      <c r="D69" s="33">
        <f t="shared" si="7"/>
        <v>0</v>
      </c>
      <c r="E69" s="45">
        <v>1.0109999999999999</v>
      </c>
      <c r="F69" s="34">
        <f t="shared" si="8"/>
        <v>0</v>
      </c>
      <c r="G69" s="35">
        <f t="shared" si="9"/>
        <v>0</v>
      </c>
    </row>
    <row r="70" spans="1:7" x14ac:dyDescent="0.2">
      <c r="A70" s="18" t="s">
        <v>23</v>
      </c>
      <c r="B70" s="33"/>
      <c r="C70" s="33"/>
      <c r="D70" s="33">
        <f t="shared" si="7"/>
        <v>0</v>
      </c>
      <c r="E70" s="45">
        <v>1.0049999999999999</v>
      </c>
      <c r="F70" s="34">
        <f t="shared" si="8"/>
        <v>0</v>
      </c>
      <c r="G70" s="35">
        <f t="shared" si="9"/>
        <v>0</v>
      </c>
    </row>
    <row r="71" spans="1:7" x14ac:dyDescent="0.2">
      <c r="A71" s="18" t="s">
        <v>24</v>
      </c>
      <c r="B71" s="33"/>
      <c r="C71" s="33"/>
      <c r="D71" s="33">
        <f t="shared" si="7"/>
        <v>0</v>
      </c>
      <c r="E71" s="46">
        <v>1.004</v>
      </c>
      <c r="F71" s="34">
        <f t="shared" si="8"/>
        <v>0</v>
      </c>
      <c r="G71" s="35">
        <f t="shared" si="9"/>
        <v>0</v>
      </c>
    </row>
    <row r="72" spans="1:7" ht="13.5" thickBot="1" x14ac:dyDescent="0.25">
      <c r="A72" s="19" t="s">
        <v>25</v>
      </c>
      <c r="B72" s="33">
        <v>262500</v>
      </c>
      <c r="C72" s="33">
        <f>30293+18375</f>
        <v>48668</v>
      </c>
      <c r="D72" s="33">
        <f t="shared" si="7"/>
        <v>213832</v>
      </c>
      <c r="E72" s="46">
        <v>1</v>
      </c>
      <c r="F72" s="34">
        <f t="shared" si="8"/>
        <v>262500</v>
      </c>
      <c r="G72" s="35">
        <f t="shared" si="9"/>
        <v>213832</v>
      </c>
    </row>
    <row r="73" spans="1:7" ht="13.5" thickBot="1" x14ac:dyDescent="0.25">
      <c r="A73" s="20" t="s">
        <v>26</v>
      </c>
      <c r="B73" s="21">
        <f>SUM(B61:B72)</f>
        <v>262500</v>
      </c>
      <c r="C73" s="36">
        <f>SUM(C61:C72)</f>
        <v>48668</v>
      </c>
      <c r="D73" s="21">
        <f>SUM(D61:D72)</f>
        <v>213832</v>
      </c>
      <c r="E73" s="21"/>
      <c r="F73" s="21">
        <f>SUM(F61:F72)</f>
        <v>262500</v>
      </c>
      <c r="G73" s="21">
        <f>SUM(G61:G72)</f>
        <v>213832</v>
      </c>
    </row>
    <row r="75" spans="1:7" ht="13.5" thickBot="1" x14ac:dyDescent="0.25"/>
    <row r="76" spans="1:7" x14ac:dyDescent="0.2">
      <c r="A76" s="4" t="s">
        <v>27</v>
      </c>
      <c r="B76" s="5" t="s">
        <v>38</v>
      </c>
      <c r="C76" s="5"/>
      <c r="D76" s="6"/>
      <c r="E76" s="2"/>
      <c r="F76" s="3"/>
      <c r="G76" s="2">
        <v>3</v>
      </c>
    </row>
    <row r="77" spans="1:7" ht="13.5" thickBot="1" x14ac:dyDescent="0.25">
      <c r="A77" s="22" t="s">
        <v>1</v>
      </c>
      <c r="B77" s="11" t="s">
        <v>39</v>
      </c>
      <c r="C77" s="23"/>
      <c r="D77" s="24"/>
      <c r="E77" s="25"/>
      <c r="F77" s="25"/>
      <c r="G77" s="26"/>
    </row>
    <row r="78" spans="1:7" x14ac:dyDescent="0.2">
      <c r="A78" s="27" t="s">
        <v>3</v>
      </c>
      <c r="B78" s="28" t="s">
        <v>4</v>
      </c>
      <c r="C78" s="28" t="s">
        <v>5</v>
      </c>
      <c r="D78" s="28" t="s">
        <v>6</v>
      </c>
      <c r="E78" s="29" t="s">
        <v>7</v>
      </c>
      <c r="F78" s="15" t="s">
        <v>29</v>
      </c>
      <c r="G78" s="30" t="s">
        <v>8</v>
      </c>
    </row>
    <row r="79" spans="1:7" ht="13.5" thickBot="1" x14ac:dyDescent="0.25">
      <c r="A79" s="31"/>
      <c r="B79" s="28" t="s">
        <v>9</v>
      </c>
      <c r="C79" s="16" t="s">
        <v>10</v>
      </c>
      <c r="D79" s="16" t="s">
        <v>11</v>
      </c>
      <c r="E79" s="32" t="s">
        <v>12</v>
      </c>
      <c r="F79" s="16" t="s">
        <v>30</v>
      </c>
      <c r="G79" s="17" t="s">
        <v>13</v>
      </c>
    </row>
    <row r="80" spans="1:7" x14ac:dyDescent="0.2">
      <c r="A80" s="18" t="s">
        <v>14</v>
      </c>
      <c r="B80" s="33"/>
      <c r="C80" s="33"/>
      <c r="D80" s="33">
        <f>B80-C80</f>
        <v>0</v>
      </c>
      <c r="E80" s="45">
        <v>1.024</v>
      </c>
      <c r="F80" s="34">
        <f>B80*E80</f>
        <v>0</v>
      </c>
      <c r="G80" s="35">
        <f>D80*E80</f>
        <v>0</v>
      </c>
    </row>
    <row r="81" spans="1:7" x14ac:dyDescent="0.2">
      <c r="A81" s="18" t="s">
        <v>15</v>
      </c>
      <c r="B81" s="33"/>
      <c r="C81" s="33"/>
      <c r="D81" s="33">
        <f t="shared" ref="D81:D91" si="10">B81-C81</f>
        <v>0</v>
      </c>
      <c r="E81" s="45">
        <v>1.022</v>
      </c>
      <c r="F81" s="34">
        <f t="shared" ref="F81:F91" si="11">B81*E81</f>
        <v>0</v>
      </c>
      <c r="G81" s="35">
        <f t="shared" ref="G81:G91" si="12">D81*E81</f>
        <v>0</v>
      </c>
    </row>
    <row r="82" spans="1:7" x14ac:dyDescent="0.2">
      <c r="A82" s="18" t="s">
        <v>16</v>
      </c>
      <c r="B82" s="33"/>
      <c r="C82" s="33"/>
      <c r="D82" s="33">
        <f t="shared" si="10"/>
        <v>0</v>
      </c>
      <c r="E82" s="45">
        <v>1.0209999999999999</v>
      </c>
      <c r="F82" s="34">
        <f t="shared" si="11"/>
        <v>0</v>
      </c>
      <c r="G82" s="35">
        <f t="shared" si="12"/>
        <v>0</v>
      </c>
    </row>
    <row r="83" spans="1:7" x14ac:dyDescent="0.2">
      <c r="A83" s="18" t="s">
        <v>17</v>
      </c>
      <c r="B83" s="33"/>
      <c r="C83" s="33"/>
      <c r="D83" s="33">
        <f t="shared" si="10"/>
        <v>0</v>
      </c>
      <c r="E83" s="45">
        <v>1.0169999999999999</v>
      </c>
      <c r="F83" s="34">
        <f t="shared" si="11"/>
        <v>0</v>
      </c>
      <c r="G83" s="35">
        <f t="shared" si="12"/>
        <v>0</v>
      </c>
    </row>
    <row r="84" spans="1:7" x14ac:dyDescent="0.2">
      <c r="A84" s="18" t="s">
        <v>18</v>
      </c>
      <c r="B84" s="33"/>
      <c r="C84" s="33"/>
      <c r="D84" s="33">
        <f t="shared" si="10"/>
        <v>0</v>
      </c>
      <c r="E84" s="45">
        <v>1.022</v>
      </c>
      <c r="F84" s="34">
        <f t="shared" si="11"/>
        <v>0</v>
      </c>
      <c r="G84" s="35">
        <f t="shared" si="12"/>
        <v>0</v>
      </c>
    </row>
    <row r="85" spans="1:7" x14ac:dyDescent="0.2">
      <c r="A85" s="18" t="s">
        <v>19</v>
      </c>
      <c r="B85" s="33"/>
      <c r="C85" s="33"/>
      <c r="D85" s="33">
        <f t="shared" si="10"/>
        <v>0</v>
      </c>
      <c r="E85" s="45">
        <v>1.022</v>
      </c>
      <c r="F85" s="34">
        <f t="shared" si="11"/>
        <v>0</v>
      </c>
      <c r="G85" s="35">
        <f t="shared" si="12"/>
        <v>0</v>
      </c>
    </row>
    <row r="86" spans="1:7" x14ac:dyDescent="0.2">
      <c r="A86" s="18" t="s">
        <v>20</v>
      </c>
      <c r="B86" s="33"/>
      <c r="C86" s="33"/>
      <c r="D86" s="33">
        <f t="shared" si="10"/>
        <v>0</v>
      </c>
      <c r="E86" s="45">
        <v>1.016</v>
      </c>
      <c r="F86" s="34">
        <f t="shared" si="11"/>
        <v>0</v>
      </c>
      <c r="G86" s="35">
        <f t="shared" si="12"/>
        <v>0</v>
      </c>
    </row>
    <row r="87" spans="1:7" x14ac:dyDescent="0.2">
      <c r="A87" s="18" t="s">
        <v>21</v>
      </c>
      <c r="B87" s="33"/>
      <c r="C87" s="33"/>
      <c r="D87" s="33">
        <f t="shared" si="10"/>
        <v>0</v>
      </c>
      <c r="E87" s="45">
        <v>1.0129999999999999</v>
      </c>
      <c r="F87" s="34">
        <f t="shared" si="11"/>
        <v>0</v>
      </c>
      <c r="G87" s="35">
        <f t="shared" si="12"/>
        <v>0</v>
      </c>
    </row>
    <row r="88" spans="1:7" x14ac:dyDescent="0.2">
      <c r="A88" s="18" t="s">
        <v>22</v>
      </c>
      <c r="B88" s="33"/>
      <c r="C88" s="33"/>
      <c r="D88" s="33">
        <f t="shared" si="10"/>
        <v>0</v>
      </c>
      <c r="E88" s="45">
        <v>1.0109999999999999</v>
      </c>
      <c r="F88" s="34">
        <f t="shared" si="11"/>
        <v>0</v>
      </c>
      <c r="G88" s="35">
        <f t="shared" si="12"/>
        <v>0</v>
      </c>
    </row>
    <row r="89" spans="1:7" x14ac:dyDescent="0.2">
      <c r="A89" s="18" t="s">
        <v>23</v>
      </c>
      <c r="B89" s="33"/>
      <c r="C89" s="33"/>
      <c r="D89" s="33">
        <f t="shared" si="10"/>
        <v>0</v>
      </c>
      <c r="E89" s="45">
        <v>1.0049999999999999</v>
      </c>
      <c r="F89" s="34">
        <f t="shared" si="11"/>
        <v>0</v>
      </c>
      <c r="G89" s="35">
        <f t="shared" si="12"/>
        <v>0</v>
      </c>
    </row>
    <row r="90" spans="1:7" x14ac:dyDescent="0.2">
      <c r="A90" s="18" t="s">
        <v>24</v>
      </c>
      <c r="B90" s="33"/>
      <c r="C90" s="33"/>
      <c r="D90" s="33">
        <f t="shared" si="10"/>
        <v>0</v>
      </c>
      <c r="E90" s="46">
        <v>1.004</v>
      </c>
      <c r="F90" s="34">
        <f t="shared" si="11"/>
        <v>0</v>
      </c>
      <c r="G90" s="35">
        <f t="shared" si="12"/>
        <v>0</v>
      </c>
    </row>
    <row r="91" spans="1:7" ht="13.5" thickBot="1" x14ac:dyDescent="0.25">
      <c r="A91" s="19" t="s">
        <v>25</v>
      </c>
      <c r="B91" s="33">
        <v>262500</v>
      </c>
      <c r="C91" s="33">
        <v>48668</v>
      </c>
      <c r="D91" s="33">
        <f t="shared" si="10"/>
        <v>213832</v>
      </c>
      <c r="E91" s="46">
        <v>1</v>
      </c>
      <c r="F91" s="34">
        <f t="shared" si="11"/>
        <v>262500</v>
      </c>
      <c r="G91" s="35">
        <f t="shared" si="12"/>
        <v>213832</v>
      </c>
    </row>
    <row r="92" spans="1:7" ht="13.5" thickBot="1" x14ac:dyDescent="0.25">
      <c r="A92" s="20" t="s">
        <v>26</v>
      </c>
      <c r="B92" s="21">
        <f>SUM(B80:B91)</f>
        <v>262500</v>
      </c>
      <c r="C92" s="36">
        <f>SUM(C80:C91)</f>
        <v>48668</v>
      </c>
      <c r="D92" s="21">
        <f>SUM(D80:D91)</f>
        <v>213832</v>
      </c>
      <c r="E92" s="21"/>
      <c r="F92" s="21">
        <f>SUM(F80:F91)</f>
        <v>262500</v>
      </c>
      <c r="G92" s="21">
        <f>SUM(G80:G91)</f>
        <v>213832</v>
      </c>
    </row>
  </sheetData>
  <phoneticPr fontId="0" type="noConversion"/>
  <pageMargins left="0.75" right="0.75" top="1" bottom="1" header="0" footer="0"/>
  <pageSetup orientation="landscape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K147"/>
  <sheetViews>
    <sheetView topLeftCell="A4" workbookViewId="0">
      <selection activeCell="K9" sqref="K9"/>
    </sheetView>
  </sheetViews>
  <sheetFormatPr baseColWidth="10" defaultRowHeight="12.75" x14ac:dyDescent="0.2"/>
  <cols>
    <col min="1" max="2" width="11" customWidth="1"/>
    <col min="3" max="3" width="10.85546875" customWidth="1"/>
    <col min="4" max="4" width="11.28515625" customWidth="1"/>
    <col min="5" max="5" width="10.140625" customWidth="1"/>
    <col min="6" max="6" width="11.140625" customWidth="1"/>
    <col min="7" max="7" width="20.42578125" customWidth="1"/>
    <col min="9" max="9" width="0" hidden="1" customWidth="1"/>
  </cols>
  <sheetData>
    <row r="1" spans="1:11" x14ac:dyDescent="0.2">
      <c r="A1" s="1" t="s">
        <v>28</v>
      </c>
      <c r="B1" s="2"/>
      <c r="C1" s="2"/>
      <c r="D1" s="2"/>
      <c r="E1" s="2"/>
      <c r="F1" s="3"/>
      <c r="G1" s="2"/>
    </row>
    <row r="2" spans="1:11" ht="13.5" thickBot="1" x14ac:dyDescent="0.25">
      <c r="A2" s="2"/>
      <c r="B2" s="2"/>
      <c r="C2" s="2"/>
      <c r="D2" s="2"/>
      <c r="E2" s="2"/>
      <c r="F2" s="3"/>
      <c r="G2" s="2"/>
    </row>
    <row r="3" spans="1:11" x14ac:dyDescent="0.2">
      <c r="A3" s="4" t="s">
        <v>0</v>
      </c>
      <c r="B3" s="5"/>
      <c r="C3" s="5" t="s">
        <v>40</v>
      </c>
      <c r="D3" s="5"/>
      <c r="E3" s="5"/>
      <c r="F3" s="53"/>
      <c r="G3" s="2"/>
    </row>
    <row r="4" spans="1:11" x14ac:dyDescent="0.2">
      <c r="A4" s="8" t="s">
        <v>1</v>
      </c>
      <c r="B4" s="9"/>
      <c r="C4" s="9" t="s">
        <v>41</v>
      </c>
      <c r="D4" s="9"/>
      <c r="E4" s="9"/>
      <c r="F4" s="54"/>
      <c r="G4" s="2"/>
    </row>
    <row r="5" spans="1:11" ht="13.5" thickBot="1" x14ac:dyDescent="0.25">
      <c r="A5" s="10" t="s">
        <v>2</v>
      </c>
      <c r="B5" s="11"/>
      <c r="C5" s="11" t="s">
        <v>33</v>
      </c>
      <c r="D5" s="11"/>
      <c r="E5" s="11"/>
      <c r="F5" s="24"/>
      <c r="G5" s="2"/>
    </row>
    <row r="6" spans="1:11" x14ac:dyDescent="0.2">
      <c r="A6" s="9"/>
      <c r="B6" s="9"/>
      <c r="C6" s="9"/>
      <c r="D6" s="9"/>
      <c r="E6" s="9"/>
      <c r="F6" s="7"/>
      <c r="G6" s="2"/>
    </row>
    <row r="8" spans="1:11" ht="13.5" thickBot="1" x14ac:dyDescent="0.25">
      <c r="A8" s="12"/>
      <c r="B8" s="9"/>
      <c r="C8" s="7"/>
      <c r="D8" s="7"/>
      <c r="E8" s="13"/>
      <c r="F8" s="13"/>
      <c r="G8" s="14"/>
    </row>
    <row r="9" spans="1:11" ht="13.5" thickBot="1" x14ac:dyDescent="0.25">
      <c r="A9" s="38" t="s">
        <v>3</v>
      </c>
      <c r="B9" s="39" t="s">
        <v>4</v>
      </c>
      <c r="C9" s="47" t="s">
        <v>5</v>
      </c>
      <c r="D9" s="39" t="s">
        <v>6</v>
      </c>
      <c r="E9" s="43" t="s">
        <v>7</v>
      </c>
      <c r="F9" s="39" t="s">
        <v>29</v>
      </c>
      <c r="G9" s="39" t="s">
        <v>8</v>
      </c>
    </row>
    <row r="10" spans="1:11" ht="13.5" thickBot="1" x14ac:dyDescent="0.25">
      <c r="A10" s="40"/>
      <c r="B10" s="51" t="s">
        <v>9</v>
      </c>
      <c r="C10" s="48" t="s">
        <v>10</v>
      </c>
      <c r="D10" s="41" t="s">
        <v>11</v>
      </c>
      <c r="E10" s="44" t="s">
        <v>12</v>
      </c>
      <c r="F10" s="41" t="s">
        <v>30</v>
      </c>
      <c r="G10" s="41" t="s">
        <v>13</v>
      </c>
    </row>
    <row r="11" spans="1:11" x14ac:dyDescent="0.2">
      <c r="A11" s="49" t="s">
        <v>14</v>
      </c>
      <c r="B11" s="52">
        <f t="shared" ref="B11:D20" si="0">B42+B61+B80+B98+B116+B134</f>
        <v>0</v>
      </c>
      <c r="C11" s="52">
        <f t="shared" si="0"/>
        <v>0</v>
      </c>
      <c r="D11" s="52">
        <f t="shared" si="0"/>
        <v>0</v>
      </c>
      <c r="E11" s="45">
        <v>1.0289999999999999</v>
      </c>
      <c r="F11" s="52">
        <f t="shared" ref="F11:G22" si="1">F42+F61+F80+F98+F116+F134</f>
        <v>0</v>
      </c>
      <c r="G11" s="52">
        <f t="shared" si="1"/>
        <v>0</v>
      </c>
    </row>
    <row r="12" spans="1:11" x14ac:dyDescent="0.2">
      <c r="A12" s="49" t="s">
        <v>15</v>
      </c>
      <c r="B12" s="52">
        <f t="shared" si="0"/>
        <v>0</v>
      </c>
      <c r="C12" s="52">
        <f t="shared" si="0"/>
        <v>0</v>
      </c>
      <c r="D12" s="52">
        <f t="shared" si="0"/>
        <v>0</v>
      </c>
      <c r="E12" s="45">
        <v>1.024</v>
      </c>
      <c r="F12" s="52">
        <f t="shared" si="1"/>
        <v>0</v>
      </c>
      <c r="G12" s="52">
        <f t="shared" si="1"/>
        <v>0</v>
      </c>
    </row>
    <row r="13" spans="1:11" x14ac:dyDescent="0.2">
      <c r="A13" s="49" t="s">
        <v>16</v>
      </c>
      <c r="B13" s="52">
        <f t="shared" si="0"/>
        <v>358333</v>
      </c>
      <c r="C13" s="52">
        <f t="shared" si="0"/>
        <v>68971</v>
      </c>
      <c r="D13" s="52">
        <f t="shared" si="0"/>
        <v>289362</v>
      </c>
      <c r="E13" s="45">
        <v>1.022</v>
      </c>
      <c r="F13" s="52">
        <f t="shared" si="1"/>
        <v>366216.326</v>
      </c>
      <c r="G13" s="52">
        <f t="shared" si="1"/>
        <v>295727.96399999998</v>
      </c>
    </row>
    <row r="14" spans="1:11" x14ac:dyDescent="0.2">
      <c r="A14" s="49" t="s">
        <v>17</v>
      </c>
      <c r="B14" s="52">
        <f t="shared" si="0"/>
        <v>304166</v>
      </c>
      <c r="C14" s="52">
        <f t="shared" si="0"/>
        <v>59706</v>
      </c>
      <c r="D14" s="52">
        <f t="shared" si="0"/>
        <v>244460</v>
      </c>
      <c r="E14" s="45">
        <v>1.018</v>
      </c>
      <c r="F14" s="52">
        <f t="shared" si="1"/>
        <v>309640.98800000001</v>
      </c>
      <c r="G14" s="52">
        <f t="shared" si="1"/>
        <v>248860.28000000003</v>
      </c>
    </row>
    <row r="15" spans="1:11" x14ac:dyDescent="0.2">
      <c r="A15" s="49" t="s">
        <v>18</v>
      </c>
      <c r="B15" s="52">
        <f t="shared" si="0"/>
        <v>531064</v>
      </c>
      <c r="C15" s="52">
        <f t="shared" si="0"/>
        <v>105994</v>
      </c>
      <c r="D15" s="52">
        <f t="shared" si="0"/>
        <v>425070</v>
      </c>
      <c r="E15" s="45">
        <v>1.014</v>
      </c>
      <c r="F15" s="52">
        <f t="shared" si="1"/>
        <v>538498.89599999995</v>
      </c>
      <c r="G15" s="52">
        <f t="shared" si="1"/>
        <v>431020.98</v>
      </c>
      <c r="K15" s="57"/>
    </row>
    <row r="16" spans="1:11" x14ac:dyDescent="0.2">
      <c r="A16" s="49" t="s">
        <v>19</v>
      </c>
      <c r="B16" s="52">
        <f t="shared" si="0"/>
        <v>589789</v>
      </c>
      <c r="C16" s="52">
        <f t="shared" si="0"/>
        <v>119668</v>
      </c>
      <c r="D16" s="52">
        <f t="shared" si="0"/>
        <v>470121</v>
      </c>
      <c r="E16" s="45">
        <v>1.012</v>
      </c>
      <c r="F16" s="52">
        <f t="shared" si="1"/>
        <v>596866.46799999999</v>
      </c>
      <c r="G16" s="52">
        <f t="shared" si="1"/>
        <v>475762.45199999999</v>
      </c>
    </row>
    <row r="17" spans="1:7" x14ac:dyDescent="0.2">
      <c r="A17" s="49" t="s">
        <v>20</v>
      </c>
      <c r="B17" s="52">
        <f t="shared" si="0"/>
        <v>406280</v>
      </c>
      <c r="C17" s="52">
        <f t="shared" si="0"/>
        <v>82434</v>
      </c>
      <c r="D17" s="52">
        <f t="shared" si="0"/>
        <v>323846</v>
      </c>
      <c r="E17" s="45">
        <v>1.008</v>
      </c>
      <c r="F17" s="52">
        <f t="shared" si="1"/>
        <v>409530.24</v>
      </c>
      <c r="G17" s="52">
        <f t="shared" si="1"/>
        <v>326436.76799999998</v>
      </c>
    </row>
    <row r="18" spans="1:7" x14ac:dyDescent="0.2">
      <c r="A18" s="49" t="s">
        <v>21</v>
      </c>
      <c r="B18" s="52">
        <f t="shared" si="0"/>
        <v>331890</v>
      </c>
      <c r="C18" s="52">
        <f t="shared" si="0"/>
        <v>67340</v>
      </c>
      <c r="D18" s="52">
        <f t="shared" si="0"/>
        <v>264550</v>
      </c>
      <c r="E18" s="45">
        <v>1.0049999999999999</v>
      </c>
      <c r="F18" s="52">
        <f t="shared" si="1"/>
        <v>333549.44999999995</v>
      </c>
      <c r="G18" s="52">
        <f t="shared" si="1"/>
        <v>265872.75</v>
      </c>
    </row>
    <row r="19" spans="1:7" x14ac:dyDescent="0.2">
      <c r="A19" s="49" t="s">
        <v>22</v>
      </c>
      <c r="B19" s="52">
        <f t="shared" si="0"/>
        <v>0</v>
      </c>
      <c r="C19" s="52">
        <f t="shared" si="0"/>
        <v>0</v>
      </c>
      <c r="D19" s="52">
        <f t="shared" si="0"/>
        <v>0</v>
      </c>
      <c r="E19" s="45">
        <v>1.0049999999999999</v>
      </c>
      <c r="F19" s="52">
        <f t="shared" si="1"/>
        <v>0</v>
      </c>
      <c r="G19" s="52">
        <f t="shared" si="1"/>
        <v>0</v>
      </c>
    </row>
    <row r="20" spans="1:7" x14ac:dyDescent="0.2">
      <c r="A20" s="49" t="s">
        <v>23</v>
      </c>
      <c r="B20" s="52">
        <f t="shared" si="0"/>
        <v>456302</v>
      </c>
      <c r="C20" s="52">
        <f t="shared" si="0"/>
        <v>87289</v>
      </c>
      <c r="D20" s="52">
        <f t="shared" si="0"/>
        <v>369013</v>
      </c>
      <c r="E20" s="45">
        <v>1.002</v>
      </c>
      <c r="F20" s="52">
        <f t="shared" si="1"/>
        <v>457214.60399999999</v>
      </c>
      <c r="G20" s="52">
        <f t="shared" si="1"/>
        <v>369751.02600000001</v>
      </c>
    </row>
    <row r="21" spans="1:7" x14ac:dyDescent="0.2">
      <c r="A21" s="49" t="s">
        <v>24</v>
      </c>
      <c r="B21" s="52">
        <f t="shared" ref="B21:D22" si="2">B52+B71+B90+B108+B126+B144</f>
        <v>477378</v>
      </c>
      <c r="C21" s="52">
        <f t="shared" si="2"/>
        <v>88602</v>
      </c>
      <c r="D21" s="52">
        <f t="shared" si="2"/>
        <v>388776</v>
      </c>
      <c r="E21" s="46">
        <v>1.0009999999999999</v>
      </c>
      <c r="F21" s="52">
        <f t="shared" si="1"/>
        <v>477855.37799999997</v>
      </c>
      <c r="G21" s="52">
        <f t="shared" si="1"/>
        <v>389164.77599999995</v>
      </c>
    </row>
    <row r="22" spans="1:7" ht="13.5" thickBot="1" x14ac:dyDescent="0.25">
      <c r="A22" s="50" t="s">
        <v>25</v>
      </c>
      <c r="B22" s="52">
        <f t="shared" si="2"/>
        <v>270571</v>
      </c>
      <c r="C22" s="52">
        <f t="shared" si="2"/>
        <v>54152</v>
      </c>
      <c r="D22" s="52">
        <f t="shared" si="2"/>
        <v>216419</v>
      </c>
      <c r="E22" s="46">
        <v>1</v>
      </c>
      <c r="F22" s="52">
        <f t="shared" si="1"/>
        <v>270571</v>
      </c>
      <c r="G22" s="52">
        <f t="shared" si="1"/>
        <v>216419</v>
      </c>
    </row>
    <row r="23" spans="1:7" ht="13.5" thickBot="1" x14ac:dyDescent="0.25">
      <c r="A23" s="20" t="s">
        <v>26</v>
      </c>
      <c r="B23" s="37">
        <f>SUM(B11:B22)</f>
        <v>3725773</v>
      </c>
      <c r="C23" s="36">
        <f>SUM(C11:C22)</f>
        <v>734156</v>
      </c>
      <c r="D23" s="21">
        <f>SUM(D11:D22)</f>
        <v>2991617</v>
      </c>
      <c r="E23" s="21">
        <v>0</v>
      </c>
      <c r="F23" s="21">
        <f>SUM(F11:F22)</f>
        <v>3759943.3499999996</v>
      </c>
      <c r="G23" s="21">
        <f>SUM(G11:G22)</f>
        <v>3019015.9959999998</v>
      </c>
    </row>
    <row r="24" spans="1:7" x14ac:dyDescent="0.2">
      <c r="A24" s="9"/>
      <c r="B24" s="58"/>
      <c r="C24" s="7"/>
      <c r="D24" s="7"/>
      <c r="E24" s="7"/>
      <c r="F24" s="7"/>
      <c r="G24" s="7"/>
    </row>
    <row r="25" spans="1:7" x14ac:dyDescent="0.2">
      <c r="A25" s="9"/>
      <c r="B25" s="58"/>
      <c r="C25" s="7"/>
      <c r="D25" s="7"/>
      <c r="E25" s="7"/>
      <c r="F25" s="7"/>
      <c r="G25" s="7"/>
    </row>
    <row r="26" spans="1:7" x14ac:dyDescent="0.2">
      <c r="A26" s="9"/>
      <c r="B26" s="58"/>
      <c r="C26" s="7"/>
      <c r="D26" s="7"/>
      <c r="E26" s="7"/>
      <c r="F26" s="7"/>
      <c r="G26" s="7"/>
    </row>
    <row r="27" spans="1:7" x14ac:dyDescent="0.2">
      <c r="A27" s="9"/>
      <c r="B27" s="58"/>
      <c r="C27" s="7"/>
      <c r="D27" s="7"/>
      <c r="E27" s="7"/>
      <c r="F27" s="7"/>
      <c r="G27" s="7"/>
    </row>
    <row r="28" spans="1:7" x14ac:dyDescent="0.2">
      <c r="A28" s="9"/>
      <c r="B28" s="58"/>
      <c r="C28" s="7"/>
      <c r="D28" s="7"/>
      <c r="E28" s="7"/>
      <c r="F28" s="7"/>
      <c r="G28" s="7"/>
    </row>
    <row r="29" spans="1:7" x14ac:dyDescent="0.2">
      <c r="A29" s="9"/>
      <c r="B29" s="58"/>
      <c r="C29" s="7"/>
      <c r="D29" s="7"/>
      <c r="E29" s="7"/>
      <c r="F29" s="7"/>
      <c r="G29" s="7"/>
    </row>
    <row r="30" spans="1:7" x14ac:dyDescent="0.2">
      <c r="A30" s="9"/>
      <c r="B30" s="58"/>
      <c r="C30" s="7"/>
      <c r="D30" s="7"/>
      <c r="E30" s="7"/>
      <c r="F30" s="7"/>
      <c r="G30" s="7"/>
    </row>
    <row r="31" spans="1:7" x14ac:dyDescent="0.2">
      <c r="A31" s="9"/>
      <c r="B31" s="58"/>
      <c r="C31" s="7"/>
      <c r="D31" s="7"/>
      <c r="E31" s="7"/>
      <c r="F31" s="7"/>
      <c r="G31" s="7"/>
    </row>
    <row r="32" spans="1:7" x14ac:dyDescent="0.2">
      <c r="A32" s="9"/>
      <c r="B32" s="58"/>
      <c r="C32" s="7"/>
      <c r="D32" s="7"/>
      <c r="E32" s="7"/>
      <c r="F32" s="7"/>
      <c r="G32" s="7"/>
    </row>
    <row r="33" spans="1:7" x14ac:dyDescent="0.2">
      <c r="A33" s="9"/>
      <c r="B33" s="58"/>
      <c r="C33" s="7"/>
      <c r="D33" s="7"/>
      <c r="E33" s="7"/>
      <c r="F33" s="7"/>
      <c r="G33" s="7"/>
    </row>
    <row r="34" spans="1:7" x14ac:dyDescent="0.2">
      <c r="A34" s="9"/>
      <c r="B34" s="58"/>
      <c r="C34" s="7"/>
      <c r="D34" s="7"/>
      <c r="E34" s="7"/>
      <c r="F34" s="7"/>
      <c r="G34" s="7"/>
    </row>
    <row r="35" spans="1:7" x14ac:dyDescent="0.2">
      <c r="A35" s="9"/>
      <c r="B35" s="58"/>
      <c r="C35" s="7"/>
      <c r="D35" s="7"/>
      <c r="E35" s="7"/>
      <c r="F35" s="7"/>
      <c r="G35" s="7"/>
    </row>
    <row r="36" spans="1:7" x14ac:dyDescent="0.2">
      <c r="A36" s="9"/>
      <c r="B36" s="58"/>
      <c r="C36" s="7"/>
      <c r="D36" s="7"/>
      <c r="E36" s="7"/>
      <c r="F36" s="7"/>
      <c r="G36" s="7"/>
    </row>
    <row r="37" spans="1:7" ht="13.5" thickBot="1" x14ac:dyDescent="0.25">
      <c r="A37" s="9"/>
      <c r="B37" s="58"/>
      <c r="C37" s="7"/>
      <c r="D37" s="7"/>
      <c r="E37" s="7"/>
      <c r="F37" s="7"/>
      <c r="G37" s="7"/>
    </row>
    <row r="38" spans="1:7" x14ac:dyDescent="0.2">
      <c r="A38" s="4" t="s">
        <v>27</v>
      </c>
      <c r="B38" s="5" t="s">
        <v>42</v>
      </c>
      <c r="C38" s="5"/>
      <c r="D38" s="5"/>
      <c r="E38" s="55"/>
      <c r="F38" s="3"/>
      <c r="G38" s="2">
        <v>1</v>
      </c>
    </row>
    <row r="39" spans="1:7" ht="13.5" thickBot="1" x14ac:dyDescent="0.25">
      <c r="A39" s="22" t="s">
        <v>1</v>
      </c>
      <c r="B39" s="11" t="s">
        <v>43</v>
      </c>
      <c r="C39" s="23"/>
      <c r="D39" s="23"/>
      <c r="E39" s="56"/>
      <c r="F39" s="25"/>
      <c r="G39" s="26"/>
    </row>
    <row r="40" spans="1:7" x14ac:dyDescent="0.2">
      <c r="A40" s="27" t="s">
        <v>3</v>
      </c>
      <c r="B40" s="28" t="s">
        <v>4</v>
      </c>
      <c r="C40" s="28" t="s">
        <v>5</v>
      </c>
      <c r="D40" s="28" t="s">
        <v>6</v>
      </c>
      <c r="E40" s="29" t="s">
        <v>7</v>
      </c>
      <c r="F40" s="15" t="s">
        <v>29</v>
      </c>
      <c r="G40" s="30" t="s">
        <v>8</v>
      </c>
    </row>
    <row r="41" spans="1:7" ht="13.5" thickBot="1" x14ac:dyDescent="0.25">
      <c r="A41" s="31"/>
      <c r="B41" s="28" t="s">
        <v>9</v>
      </c>
      <c r="C41" s="16" t="s">
        <v>10</v>
      </c>
      <c r="D41" s="16" t="s">
        <v>11</v>
      </c>
      <c r="E41" s="32" t="s">
        <v>12</v>
      </c>
      <c r="F41" s="16" t="s">
        <v>30</v>
      </c>
      <c r="G41" s="17" t="s">
        <v>13</v>
      </c>
    </row>
    <row r="42" spans="1:7" x14ac:dyDescent="0.2">
      <c r="A42" s="18" t="s">
        <v>14</v>
      </c>
      <c r="B42" s="33"/>
      <c r="C42" s="33"/>
      <c r="D42" s="33">
        <f t="shared" ref="D42:D53" si="3">B42-C42</f>
        <v>0</v>
      </c>
      <c r="E42" s="45">
        <v>1.0289999999999999</v>
      </c>
      <c r="F42" s="34">
        <f t="shared" ref="F42:F53" si="4">B42*E42</f>
        <v>0</v>
      </c>
      <c r="G42" s="35">
        <f t="shared" ref="G42:G53" si="5">D42*E42</f>
        <v>0</v>
      </c>
    </row>
    <row r="43" spans="1:7" x14ac:dyDescent="0.2">
      <c r="A43" s="18" t="s">
        <v>15</v>
      </c>
      <c r="B43" s="33"/>
      <c r="C43" s="33"/>
      <c r="D43" s="33">
        <f t="shared" si="3"/>
        <v>0</v>
      </c>
      <c r="E43" s="45">
        <v>1.024</v>
      </c>
      <c r="F43" s="34">
        <f t="shared" si="4"/>
        <v>0</v>
      </c>
      <c r="G43" s="35">
        <f t="shared" si="5"/>
        <v>0</v>
      </c>
    </row>
    <row r="44" spans="1:7" x14ac:dyDescent="0.2">
      <c r="A44" s="18" t="s">
        <v>16</v>
      </c>
      <c r="B44" s="33">
        <v>108333</v>
      </c>
      <c r="C44" s="33">
        <v>20171</v>
      </c>
      <c r="D44" s="33">
        <f t="shared" si="3"/>
        <v>88162</v>
      </c>
      <c r="E44" s="45">
        <v>1.022</v>
      </c>
      <c r="F44" s="34">
        <f t="shared" si="4"/>
        <v>110716.326</v>
      </c>
      <c r="G44" s="35">
        <f t="shared" si="5"/>
        <v>90101.563999999998</v>
      </c>
    </row>
    <row r="45" spans="1:7" x14ac:dyDescent="0.2">
      <c r="A45" s="18" t="s">
        <v>17</v>
      </c>
      <c r="B45" s="33"/>
      <c r="C45" s="33"/>
      <c r="D45" s="33">
        <f t="shared" si="3"/>
        <v>0</v>
      </c>
      <c r="E45" s="45">
        <v>1.018</v>
      </c>
      <c r="F45" s="34">
        <f t="shared" si="4"/>
        <v>0</v>
      </c>
      <c r="G45" s="35">
        <f t="shared" si="5"/>
        <v>0</v>
      </c>
    </row>
    <row r="46" spans="1:7" x14ac:dyDescent="0.2">
      <c r="A46" s="18" t="s">
        <v>18</v>
      </c>
      <c r="B46" s="33"/>
      <c r="C46" s="33"/>
      <c r="D46" s="33">
        <f t="shared" si="3"/>
        <v>0</v>
      </c>
      <c r="E46" s="45">
        <v>1.014</v>
      </c>
      <c r="F46" s="34">
        <f t="shared" si="4"/>
        <v>0</v>
      </c>
      <c r="G46" s="35">
        <f t="shared" si="5"/>
        <v>0</v>
      </c>
    </row>
    <row r="47" spans="1:7" x14ac:dyDescent="0.2">
      <c r="A47" s="18" t="s">
        <v>19</v>
      </c>
      <c r="B47" s="33"/>
      <c r="C47" s="33"/>
      <c r="D47" s="33">
        <f t="shared" si="3"/>
        <v>0</v>
      </c>
      <c r="E47" s="45">
        <v>1.012</v>
      </c>
      <c r="F47" s="34">
        <f t="shared" si="4"/>
        <v>0</v>
      </c>
      <c r="G47" s="35">
        <f t="shared" si="5"/>
        <v>0</v>
      </c>
    </row>
    <row r="48" spans="1:7" x14ac:dyDescent="0.2">
      <c r="A48" s="18" t="s">
        <v>20</v>
      </c>
      <c r="B48" s="33"/>
      <c r="C48" s="33"/>
      <c r="D48" s="33">
        <f t="shared" si="3"/>
        <v>0</v>
      </c>
      <c r="E48" s="45">
        <v>1.008</v>
      </c>
      <c r="F48" s="34">
        <f t="shared" si="4"/>
        <v>0</v>
      </c>
      <c r="G48" s="35">
        <f t="shared" si="5"/>
        <v>0</v>
      </c>
    </row>
    <row r="49" spans="1:7" x14ac:dyDescent="0.2">
      <c r="A49" s="18" t="s">
        <v>21</v>
      </c>
      <c r="B49" s="33"/>
      <c r="C49" s="33"/>
      <c r="D49" s="33">
        <f t="shared" si="3"/>
        <v>0</v>
      </c>
      <c r="E49" s="45">
        <v>1.0049999999999999</v>
      </c>
      <c r="F49" s="34">
        <f t="shared" si="4"/>
        <v>0</v>
      </c>
      <c r="G49" s="35">
        <f t="shared" si="5"/>
        <v>0</v>
      </c>
    </row>
    <row r="50" spans="1:7" x14ac:dyDescent="0.2">
      <c r="A50" s="18" t="s">
        <v>22</v>
      </c>
      <c r="B50" s="33"/>
      <c r="C50" s="33"/>
      <c r="D50" s="33">
        <f t="shared" si="3"/>
        <v>0</v>
      </c>
      <c r="E50" s="45">
        <v>1.0049999999999999</v>
      </c>
      <c r="F50" s="34">
        <f t="shared" si="4"/>
        <v>0</v>
      </c>
      <c r="G50" s="35">
        <f t="shared" si="5"/>
        <v>0</v>
      </c>
    </row>
    <row r="51" spans="1:7" x14ac:dyDescent="0.2">
      <c r="A51" s="18" t="s">
        <v>23</v>
      </c>
      <c r="B51" s="33"/>
      <c r="C51" s="33"/>
      <c r="D51" s="33">
        <f t="shared" si="3"/>
        <v>0</v>
      </c>
      <c r="E51" s="45">
        <v>1.002</v>
      </c>
      <c r="F51" s="34">
        <f t="shared" si="4"/>
        <v>0</v>
      </c>
      <c r="G51" s="35">
        <f t="shared" si="5"/>
        <v>0</v>
      </c>
    </row>
    <row r="52" spans="1:7" x14ac:dyDescent="0.2">
      <c r="A52" s="18" t="s">
        <v>24</v>
      </c>
      <c r="B52" s="33"/>
      <c r="C52" s="33"/>
      <c r="D52" s="33">
        <f t="shared" si="3"/>
        <v>0</v>
      </c>
      <c r="E52" s="46">
        <v>1.0009999999999999</v>
      </c>
      <c r="F52" s="34">
        <f t="shared" si="4"/>
        <v>0</v>
      </c>
      <c r="G52" s="35">
        <f t="shared" si="5"/>
        <v>0</v>
      </c>
    </row>
    <row r="53" spans="1:7" ht="13.5" thickBot="1" x14ac:dyDescent="0.25">
      <c r="A53" s="19" t="s">
        <v>25</v>
      </c>
      <c r="B53" s="33"/>
      <c r="C53" s="33"/>
      <c r="D53" s="33">
        <f t="shared" si="3"/>
        <v>0</v>
      </c>
      <c r="E53" s="46">
        <v>1</v>
      </c>
      <c r="F53" s="34">
        <f t="shared" si="4"/>
        <v>0</v>
      </c>
      <c r="G53" s="35">
        <f t="shared" si="5"/>
        <v>0</v>
      </c>
    </row>
    <row r="54" spans="1:7" ht="13.5" thickBot="1" x14ac:dyDescent="0.25">
      <c r="A54" s="20" t="s">
        <v>26</v>
      </c>
      <c r="B54" s="21">
        <f>SUM(B42:B53)</f>
        <v>108333</v>
      </c>
      <c r="C54" s="36">
        <f>SUM(C42:C53)</f>
        <v>20171</v>
      </c>
      <c r="D54" s="21">
        <f>SUM(D42:D53)</f>
        <v>88162</v>
      </c>
      <c r="E54" s="21"/>
      <c r="F54" s="21">
        <f>SUM(F42:F53)</f>
        <v>110716.326</v>
      </c>
      <c r="G54" s="21">
        <f>SUM(G42:G53)</f>
        <v>90101.563999999998</v>
      </c>
    </row>
    <row r="56" spans="1:7" ht="13.5" thickBot="1" x14ac:dyDescent="0.25"/>
    <row r="57" spans="1:7" x14ac:dyDescent="0.2">
      <c r="A57" s="4" t="s">
        <v>27</v>
      </c>
      <c r="B57" s="5" t="s">
        <v>44</v>
      </c>
      <c r="C57" s="5"/>
      <c r="D57" s="6"/>
      <c r="E57" s="2"/>
      <c r="F57" s="3"/>
      <c r="G57" s="2">
        <v>2</v>
      </c>
    </row>
    <row r="58" spans="1:7" ht="13.5" thickBot="1" x14ac:dyDescent="0.25">
      <c r="A58" s="22" t="s">
        <v>1</v>
      </c>
      <c r="B58" s="11" t="s">
        <v>45</v>
      </c>
      <c r="C58" s="23"/>
      <c r="D58" s="24"/>
      <c r="E58" s="25"/>
      <c r="F58" s="25"/>
      <c r="G58" s="26"/>
    </row>
    <row r="59" spans="1:7" x14ac:dyDescent="0.2">
      <c r="A59" s="27" t="s">
        <v>3</v>
      </c>
      <c r="B59" s="28" t="s">
        <v>4</v>
      </c>
      <c r="C59" s="28" t="s">
        <v>5</v>
      </c>
      <c r="D59" s="28" t="s">
        <v>6</v>
      </c>
      <c r="E59" s="29" t="s">
        <v>7</v>
      </c>
      <c r="F59" s="15" t="s">
        <v>29</v>
      </c>
      <c r="G59" s="30" t="s">
        <v>8</v>
      </c>
    </row>
    <row r="60" spans="1:7" ht="13.5" thickBot="1" x14ac:dyDescent="0.25">
      <c r="A60" s="31"/>
      <c r="B60" s="28" t="s">
        <v>9</v>
      </c>
      <c r="C60" s="16" t="s">
        <v>10</v>
      </c>
      <c r="D60" s="16" t="s">
        <v>11</v>
      </c>
      <c r="E60" s="32" t="s">
        <v>12</v>
      </c>
      <c r="F60" s="16" t="s">
        <v>30</v>
      </c>
      <c r="G60" s="17" t="s">
        <v>13</v>
      </c>
    </row>
    <row r="61" spans="1:7" x14ac:dyDescent="0.2">
      <c r="A61" s="18" t="s">
        <v>14</v>
      </c>
      <c r="B61" s="33">
        <v>0</v>
      </c>
      <c r="C61" s="33">
        <v>0</v>
      </c>
      <c r="D61" s="33">
        <f t="shared" ref="D61:D72" si="6">B61-C61</f>
        <v>0</v>
      </c>
      <c r="E61" s="45">
        <v>1.0289999999999999</v>
      </c>
      <c r="F61" s="34">
        <f t="shared" ref="F61:F72" si="7">B61*E61</f>
        <v>0</v>
      </c>
      <c r="G61" s="35">
        <f t="shared" ref="G61:G72" si="8">D61*E61</f>
        <v>0</v>
      </c>
    </row>
    <row r="62" spans="1:7" x14ac:dyDescent="0.2">
      <c r="A62" s="18" t="s">
        <v>15</v>
      </c>
      <c r="B62" s="33">
        <v>0</v>
      </c>
      <c r="C62" s="33">
        <v>0</v>
      </c>
      <c r="D62" s="33">
        <f t="shared" si="6"/>
        <v>0</v>
      </c>
      <c r="E62" s="45">
        <v>1.024</v>
      </c>
      <c r="F62" s="34">
        <f t="shared" si="7"/>
        <v>0</v>
      </c>
      <c r="G62" s="35">
        <f t="shared" si="8"/>
        <v>0</v>
      </c>
    </row>
    <row r="63" spans="1:7" x14ac:dyDescent="0.2">
      <c r="A63" s="18" t="s">
        <v>16</v>
      </c>
      <c r="B63" s="33"/>
      <c r="C63" s="33"/>
      <c r="D63" s="33">
        <f t="shared" si="6"/>
        <v>0</v>
      </c>
      <c r="E63" s="45">
        <v>1.022</v>
      </c>
      <c r="F63" s="34">
        <f t="shared" si="7"/>
        <v>0</v>
      </c>
      <c r="G63" s="35">
        <f t="shared" si="8"/>
        <v>0</v>
      </c>
    </row>
    <row r="64" spans="1:7" x14ac:dyDescent="0.2">
      <c r="A64" s="18" t="s">
        <v>17</v>
      </c>
      <c r="B64" s="33"/>
      <c r="C64" s="33"/>
      <c r="D64" s="33">
        <f t="shared" si="6"/>
        <v>0</v>
      </c>
      <c r="E64" s="45">
        <v>1.018</v>
      </c>
      <c r="F64" s="34">
        <f t="shared" si="7"/>
        <v>0</v>
      </c>
      <c r="G64" s="35">
        <f t="shared" si="8"/>
        <v>0</v>
      </c>
    </row>
    <row r="65" spans="1:7" x14ac:dyDescent="0.2">
      <c r="A65" s="18" t="s">
        <v>18</v>
      </c>
      <c r="B65" s="33"/>
      <c r="C65" s="33"/>
      <c r="D65" s="33">
        <f t="shared" si="6"/>
        <v>0</v>
      </c>
      <c r="E65" s="45">
        <v>1.014</v>
      </c>
      <c r="F65" s="34">
        <f t="shared" si="7"/>
        <v>0</v>
      </c>
      <c r="G65" s="35">
        <f t="shared" si="8"/>
        <v>0</v>
      </c>
    </row>
    <row r="66" spans="1:7" x14ac:dyDescent="0.2">
      <c r="A66" s="18" t="s">
        <v>19</v>
      </c>
      <c r="B66" s="33"/>
      <c r="C66" s="33"/>
      <c r="D66" s="33">
        <f t="shared" si="6"/>
        <v>0</v>
      </c>
      <c r="E66" s="45">
        <v>1.012</v>
      </c>
      <c r="F66" s="34">
        <f t="shared" si="7"/>
        <v>0</v>
      </c>
      <c r="G66" s="35">
        <f t="shared" si="8"/>
        <v>0</v>
      </c>
    </row>
    <row r="67" spans="1:7" x14ac:dyDescent="0.2">
      <c r="A67" s="18" t="s">
        <v>20</v>
      </c>
      <c r="B67" s="33"/>
      <c r="C67" s="33"/>
      <c r="D67" s="33">
        <f t="shared" si="6"/>
        <v>0</v>
      </c>
      <c r="E67" s="45">
        <v>1.008</v>
      </c>
      <c r="F67" s="34">
        <f t="shared" si="7"/>
        <v>0</v>
      </c>
      <c r="G67" s="35">
        <f t="shared" si="8"/>
        <v>0</v>
      </c>
    </row>
    <row r="68" spans="1:7" x14ac:dyDescent="0.2">
      <c r="A68" s="18" t="s">
        <v>21</v>
      </c>
      <c r="B68" s="33"/>
      <c r="C68" s="33"/>
      <c r="D68" s="33">
        <f t="shared" si="6"/>
        <v>0</v>
      </c>
      <c r="E68" s="45">
        <v>1.0049999999999999</v>
      </c>
      <c r="F68" s="34">
        <f t="shared" si="7"/>
        <v>0</v>
      </c>
      <c r="G68" s="35">
        <f t="shared" si="8"/>
        <v>0</v>
      </c>
    </row>
    <row r="69" spans="1:7" x14ac:dyDescent="0.2">
      <c r="A69" s="18" t="s">
        <v>22</v>
      </c>
      <c r="B69" s="33"/>
      <c r="C69" s="33"/>
      <c r="D69" s="33">
        <f t="shared" si="6"/>
        <v>0</v>
      </c>
      <c r="E69" s="45">
        <v>1.0049999999999999</v>
      </c>
      <c r="F69" s="34">
        <f t="shared" si="7"/>
        <v>0</v>
      </c>
      <c r="G69" s="35">
        <f t="shared" si="8"/>
        <v>0</v>
      </c>
    </row>
    <row r="70" spans="1:7" x14ac:dyDescent="0.2">
      <c r="A70" s="18" t="s">
        <v>23</v>
      </c>
      <c r="B70" s="33">
        <v>155884</v>
      </c>
      <c r="C70" s="33">
        <v>28932</v>
      </c>
      <c r="D70" s="33">
        <f t="shared" si="6"/>
        <v>126952</v>
      </c>
      <c r="E70" s="45">
        <v>1.002</v>
      </c>
      <c r="F70" s="34">
        <f t="shared" si="7"/>
        <v>156195.76800000001</v>
      </c>
      <c r="G70" s="35">
        <f t="shared" si="8"/>
        <v>127205.90399999999</v>
      </c>
    </row>
    <row r="71" spans="1:7" x14ac:dyDescent="0.2">
      <c r="A71" s="18" t="s">
        <v>24</v>
      </c>
      <c r="B71" s="33">
        <v>337899</v>
      </c>
      <c r="C71" s="33">
        <v>62714</v>
      </c>
      <c r="D71" s="33">
        <f t="shared" si="6"/>
        <v>275185</v>
      </c>
      <c r="E71" s="46">
        <v>1.0009999999999999</v>
      </c>
      <c r="F71" s="34">
        <f t="shared" si="7"/>
        <v>338236.89899999998</v>
      </c>
      <c r="G71" s="35">
        <f t="shared" si="8"/>
        <v>275460.185</v>
      </c>
    </row>
    <row r="72" spans="1:7" ht="13.5" thickBot="1" x14ac:dyDescent="0.25">
      <c r="A72" s="19" t="s">
        <v>25</v>
      </c>
      <c r="B72" s="33">
        <v>66092</v>
      </c>
      <c r="C72" s="33">
        <v>12663</v>
      </c>
      <c r="D72" s="33">
        <f t="shared" si="6"/>
        <v>53429</v>
      </c>
      <c r="E72" s="46">
        <v>1</v>
      </c>
      <c r="F72" s="34">
        <f t="shared" si="7"/>
        <v>66092</v>
      </c>
      <c r="G72" s="35">
        <f t="shared" si="8"/>
        <v>53429</v>
      </c>
    </row>
    <row r="73" spans="1:7" ht="13.5" thickBot="1" x14ac:dyDescent="0.25">
      <c r="A73" s="20" t="s">
        <v>26</v>
      </c>
      <c r="B73" s="21">
        <f>SUM(B61:B72)</f>
        <v>559875</v>
      </c>
      <c r="C73" s="36">
        <f>SUM(C61:C72)</f>
        <v>104309</v>
      </c>
      <c r="D73" s="21">
        <f>SUM(D61:D72)</f>
        <v>455566</v>
      </c>
      <c r="E73" s="21"/>
      <c r="F73" s="21">
        <f>SUM(F61:F72)</f>
        <v>560524.66700000002</v>
      </c>
      <c r="G73" s="21">
        <f>SUM(G61:G72)</f>
        <v>456095.08899999998</v>
      </c>
    </row>
    <row r="75" spans="1:7" ht="13.5" thickBot="1" x14ac:dyDescent="0.25"/>
    <row r="76" spans="1:7" x14ac:dyDescent="0.2">
      <c r="A76" s="4" t="s">
        <v>27</v>
      </c>
      <c r="B76" s="5" t="s">
        <v>46</v>
      </c>
      <c r="C76" s="5"/>
      <c r="D76" s="6"/>
      <c r="E76" s="2"/>
      <c r="F76" s="3"/>
      <c r="G76" s="2">
        <v>3</v>
      </c>
    </row>
    <row r="77" spans="1:7" ht="13.5" thickBot="1" x14ac:dyDescent="0.25">
      <c r="A77" s="22" t="s">
        <v>1</v>
      </c>
      <c r="B77" s="11" t="s">
        <v>47</v>
      </c>
      <c r="C77" s="23"/>
      <c r="D77" s="24"/>
      <c r="E77" s="25"/>
      <c r="F77" s="25"/>
      <c r="G77" s="26"/>
    </row>
    <row r="78" spans="1:7" x14ac:dyDescent="0.2">
      <c r="A78" s="27" t="s">
        <v>3</v>
      </c>
      <c r="B78" s="28" t="s">
        <v>4</v>
      </c>
      <c r="C78" s="28" t="s">
        <v>5</v>
      </c>
      <c r="D78" s="28" t="s">
        <v>6</v>
      </c>
      <c r="E78" s="29" t="s">
        <v>7</v>
      </c>
      <c r="F78" s="15" t="s">
        <v>29</v>
      </c>
      <c r="G78" s="30" t="s">
        <v>8</v>
      </c>
    </row>
    <row r="79" spans="1:7" ht="13.5" thickBot="1" x14ac:dyDescent="0.25">
      <c r="A79" s="31"/>
      <c r="B79" s="28" t="s">
        <v>9</v>
      </c>
      <c r="C79" s="16" t="s">
        <v>10</v>
      </c>
      <c r="D79" s="16" t="s">
        <v>11</v>
      </c>
      <c r="E79" s="32" t="s">
        <v>12</v>
      </c>
      <c r="F79" s="16" t="s">
        <v>30</v>
      </c>
      <c r="G79" s="17" t="s">
        <v>13</v>
      </c>
    </row>
    <row r="80" spans="1:7" x14ac:dyDescent="0.2">
      <c r="A80" s="18" t="s">
        <v>14</v>
      </c>
      <c r="B80" s="33"/>
      <c r="C80" s="33"/>
      <c r="D80" s="33">
        <f t="shared" ref="D80:D91" si="9">B80-C80</f>
        <v>0</v>
      </c>
      <c r="E80" s="45">
        <v>1.0289999999999999</v>
      </c>
      <c r="F80" s="34">
        <f t="shared" ref="F80:F91" si="10">B80*E80</f>
        <v>0</v>
      </c>
      <c r="G80" s="35">
        <f t="shared" ref="G80:G91" si="11">D80*E80</f>
        <v>0</v>
      </c>
    </row>
    <row r="81" spans="1:7" x14ac:dyDescent="0.2">
      <c r="A81" s="18" t="s">
        <v>15</v>
      </c>
      <c r="B81" s="33"/>
      <c r="C81" s="33"/>
      <c r="D81" s="33">
        <f t="shared" si="9"/>
        <v>0</v>
      </c>
      <c r="E81" s="45">
        <v>1.024</v>
      </c>
      <c r="F81" s="34">
        <f t="shared" si="10"/>
        <v>0</v>
      </c>
      <c r="G81" s="35">
        <f t="shared" si="11"/>
        <v>0</v>
      </c>
    </row>
    <row r="82" spans="1:7" x14ac:dyDescent="0.2">
      <c r="A82" s="18" t="s">
        <v>16</v>
      </c>
      <c r="B82" s="33">
        <v>250000</v>
      </c>
      <c r="C82" s="33">
        <v>48800</v>
      </c>
      <c r="D82" s="33">
        <f t="shared" si="9"/>
        <v>201200</v>
      </c>
      <c r="E82" s="45">
        <v>1.022</v>
      </c>
      <c r="F82" s="34">
        <f t="shared" si="10"/>
        <v>255500</v>
      </c>
      <c r="G82" s="35">
        <f t="shared" si="11"/>
        <v>205626.4</v>
      </c>
    </row>
    <row r="83" spans="1:7" x14ac:dyDescent="0.2">
      <c r="A83" s="18" t="s">
        <v>17</v>
      </c>
      <c r="B83" s="33">
        <v>112500</v>
      </c>
      <c r="C83" s="33">
        <v>21960</v>
      </c>
      <c r="D83" s="33">
        <f t="shared" si="9"/>
        <v>90540</v>
      </c>
      <c r="E83" s="45">
        <v>1.018</v>
      </c>
      <c r="F83" s="34">
        <f t="shared" si="10"/>
        <v>114525</v>
      </c>
      <c r="G83" s="35">
        <f t="shared" si="11"/>
        <v>92169.72</v>
      </c>
    </row>
    <row r="84" spans="1:7" x14ac:dyDescent="0.2">
      <c r="A84" s="18" t="s">
        <v>18</v>
      </c>
      <c r="B84" s="33"/>
      <c r="C84" s="33"/>
      <c r="D84" s="33">
        <f t="shared" si="9"/>
        <v>0</v>
      </c>
      <c r="E84" s="45">
        <v>1.014</v>
      </c>
      <c r="F84" s="34">
        <f t="shared" si="10"/>
        <v>0</v>
      </c>
      <c r="G84" s="35">
        <f t="shared" si="11"/>
        <v>0</v>
      </c>
    </row>
    <row r="85" spans="1:7" x14ac:dyDescent="0.2">
      <c r="A85" s="18" t="s">
        <v>19</v>
      </c>
      <c r="B85" s="33"/>
      <c r="C85" s="33"/>
      <c r="D85" s="33">
        <f t="shared" si="9"/>
        <v>0</v>
      </c>
      <c r="E85" s="45">
        <v>1.012</v>
      </c>
      <c r="F85" s="34">
        <f t="shared" si="10"/>
        <v>0</v>
      </c>
      <c r="G85" s="35">
        <f t="shared" si="11"/>
        <v>0</v>
      </c>
    </row>
    <row r="86" spans="1:7" x14ac:dyDescent="0.2">
      <c r="A86" s="18" t="s">
        <v>20</v>
      </c>
      <c r="B86" s="33"/>
      <c r="C86" s="33"/>
      <c r="D86" s="33">
        <f t="shared" si="9"/>
        <v>0</v>
      </c>
      <c r="E86" s="45">
        <v>1.008</v>
      </c>
      <c r="F86" s="34">
        <f t="shared" si="10"/>
        <v>0</v>
      </c>
      <c r="G86" s="35">
        <f t="shared" si="11"/>
        <v>0</v>
      </c>
    </row>
    <row r="87" spans="1:7" x14ac:dyDescent="0.2">
      <c r="A87" s="18" t="s">
        <v>21</v>
      </c>
      <c r="B87" s="33"/>
      <c r="C87" s="33"/>
      <c r="D87" s="33">
        <f t="shared" si="9"/>
        <v>0</v>
      </c>
      <c r="E87" s="45">
        <v>1.0049999999999999</v>
      </c>
      <c r="F87" s="34">
        <f t="shared" si="10"/>
        <v>0</v>
      </c>
      <c r="G87" s="35">
        <f t="shared" si="11"/>
        <v>0</v>
      </c>
    </row>
    <row r="88" spans="1:7" x14ac:dyDescent="0.2">
      <c r="A88" s="18" t="s">
        <v>22</v>
      </c>
      <c r="B88" s="33"/>
      <c r="C88" s="33"/>
      <c r="D88" s="33">
        <f t="shared" si="9"/>
        <v>0</v>
      </c>
      <c r="E88" s="45">
        <v>1.0049999999999999</v>
      </c>
      <c r="F88" s="34">
        <f t="shared" si="10"/>
        <v>0</v>
      </c>
      <c r="G88" s="35">
        <f t="shared" si="11"/>
        <v>0</v>
      </c>
    </row>
    <row r="89" spans="1:7" x14ac:dyDescent="0.2">
      <c r="A89" s="18" t="s">
        <v>23</v>
      </c>
      <c r="B89" s="33"/>
      <c r="C89" s="33"/>
      <c r="D89" s="33">
        <f t="shared" si="9"/>
        <v>0</v>
      </c>
      <c r="E89" s="45">
        <v>1.002</v>
      </c>
      <c r="F89" s="34">
        <f t="shared" si="10"/>
        <v>0</v>
      </c>
      <c r="G89" s="35">
        <f t="shared" si="11"/>
        <v>0</v>
      </c>
    </row>
    <row r="90" spans="1:7" x14ac:dyDescent="0.2">
      <c r="A90" s="18" t="s">
        <v>24</v>
      </c>
      <c r="B90" s="33"/>
      <c r="C90" s="33"/>
      <c r="D90" s="33">
        <f t="shared" si="9"/>
        <v>0</v>
      </c>
      <c r="E90" s="46">
        <v>1.0009999999999999</v>
      </c>
      <c r="F90" s="34">
        <f t="shared" si="10"/>
        <v>0</v>
      </c>
      <c r="G90" s="35">
        <f t="shared" si="11"/>
        <v>0</v>
      </c>
    </row>
    <row r="91" spans="1:7" ht="13.5" thickBot="1" x14ac:dyDescent="0.25">
      <c r="A91" s="19" t="s">
        <v>25</v>
      </c>
      <c r="B91" s="33"/>
      <c r="C91" s="33"/>
      <c r="D91" s="33">
        <f t="shared" si="9"/>
        <v>0</v>
      </c>
      <c r="E91" s="46">
        <v>1</v>
      </c>
      <c r="F91" s="34">
        <f t="shared" si="10"/>
        <v>0</v>
      </c>
      <c r="G91" s="35">
        <f t="shared" si="11"/>
        <v>0</v>
      </c>
    </row>
    <row r="92" spans="1:7" ht="13.5" thickBot="1" x14ac:dyDescent="0.25">
      <c r="A92" s="20" t="s">
        <v>26</v>
      </c>
      <c r="B92" s="21">
        <v>55852</v>
      </c>
      <c r="C92" s="36">
        <f>SUM(C80:C91)</f>
        <v>70760</v>
      </c>
      <c r="D92" s="21">
        <f>SUM(D80:D91)</f>
        <v>291740</v>
      </c>
      <c r="E92" s="21"/>
      <c r="F92" s="21">
        <f>SUM(F80:F91)</f>
        <v>370025</v>
      </c>
      <c r="G92" s="21">
        <f>SUM(G80:G91)</f>
        <v>297796.12</v>
      </c>
    </row>
    <row r="93" spans="1:7" ht="13.5" thickBot="1" x14ac:dyDescent="0.25"/>
    <row r="94" spans="1:7" x14ac:dyDescent="0.2">
      <c r="A94" s="4" t="s">
        <v>27</v>
      </c>
      <c r="B94" s="5" t="s">
        <v>48</v>
      </c>
      <c r="C94" s="5"/>
      <c r="D94" s="6"/>
      <c r="E94" s="2"/>
      <c r="F94" s="3"/>
      <c r="G94" s="2">
        <v>4</v>
      </c>
    </row>
    <row r="95" spans="1:7" ht="13.5" thickBot="1" x14ac:dyDescent="0.25">
      <c r="A95" s="22" t="s">
        <v>1</v>
      </c>
      <c r="B95" s="11" t="s">
        <v>49</v>
      </c>
      <c r="C95" s="23"/>
      <c r="D95" s="24"/>
      <c r="E95" s="25"/>
      <c r="F95" s="25"/>
      <c r="G95" s="26"/>
    </row>
    <row r="96" spans="1:7" x14ac:dyDescent="0.2">
      <c r="A96" s="27" t="s">
        <v>3</v>
      </c>
      <c r="B96" s="28" t="s">
        <v>4</v>
      </c>
      <c r="C96" s="28" t="s">
        <v>5</v>
      </c>
      <c r="D96" s="28" t="s">
        <v>6</v>
      </c>
      <c r="E96" s="29" t="s">
        <v>7</v>
      </c>
      <c r="F96" s="15" t="s">
        <v>29</v>
      </c>
      <c r="G96" s="30" t="s">
        <v>8</v>
      </c>
    </row>
    <row r="97" spans="1:7" ht="13.5" thickBot="1" x14ac:dyDescent="0.25">
      <c r="A97" s="31"/>
      <c r="B97" s="28" t="s">
        <v>9</v>
      </c>
      <c r="C97" s="16" t="s">
        <v>10</v>
      </c>
      <c r="D97" s="16" t="s">
        <v>11</v>
      </c>
      <c r="E97" s="32" t="s">
        <v>12</v>
      </c>
      <c r="F97" s="16" t="s">
        <v>30</v>
      </c>
      <c r="G97" s="17" t="s">
        <v>13</v>
      </c>
    </row>
    <row r="98" spans="1:7" x14ac:dyDescent="0.2">
      <c r="A98" s="18" t="s">
        <v>14</v>
      </c>
      <c r="B98" s="33">
        <v>0</v>
      </c>
      <c r="C98" s="33">
        <v>0</v>
      </c>
      <c r="D98" s="33">
        <f t="shared" ref="D98:D109" si="12">B98-C98</f>
        <v>0</v>
      </c>
      <c r="E98" s="45">
        <v>1.0289999999999999</v>
      </c>
      <c r="F98" s="34">
        <f t="shared" ref="F98:F109" si="13">B98*E98</f>
        <v>0</v>
      </c>
      <c r="G98" s="35">
        <f t="shared" ref="G98:G109" si="14">D98*E98</f>
        <v>0</v>
      </c>
    </row>
    <row r="99" spans="1:7" x14ac:dyDescent="0.2">
      <c r="A99" s="18" t="s">
        <v>15</v>
      </c>
      <c r="B99" s="33">
        <v>0</v>
      </c>
      <c r="C99" s="33">
        <v>0</v>
      </c>
      <c r="D99" s="33">
        <f t="shared" si="12"/>
        <v>0</v>
      </c>
      <c r="E99" s="45">
        <v>1.024</v>
      </c>
      <c r="F99" s="34">
        <f t="shared" si="13"/>
        <v>0</v>
      </c>
      <c r="G99" s="35">
        <f t="shared" si="14"/>
        <v>0</v>
      </c>
    </row>
    <row r="100" spans="1:7" x14ac:dyDescent="0.2">
      <c r="A100" s="18" t="s">
        <v>16</v>
      </c>
      <c r="B100" s="33">
        <v>0</v>
      </c>
      <c r="C100" s="33">
        <v>0</v>
      </c>
      <c r="D100" s="33">
        <f t="shared" si="12"/>
        <v>0</v>
      </c>
      <c r="E100" s="45">
        <v>1.022</v>
      </c>
      <c r="F100" s="34">
        <f t="shared" si="13"/>
        <v>0</v>
      </c>
      <c r="G100" s="35">
        <f t="shared" si="14"/>
        <v>0</v>
      </c>
    </row>
    <row r="101" spans="1:7" x14ac:dyDescent="0.2">
      <c r="A101" s="18" t="s">
        <v>17</v>
      </c>
      <c r="B101" s="33"/>
      <c r="C101" s="33"/>
      <c r="D101" s="33">
        <f t="shared" si="12"/>
        <v>0</v>
      </c>
      <c r="E101" s="45">
        <v>1.018</v>
      </c>
      <c r="F101" s="34">
        <f t="shared" si="13"/>
        <v>0</v>
      </c>
      <c r="G101" s="35">
        <f t="shared" si="14"/>
        <v>0</v>
      </c>
    </row>
    <row r="102" spans="1:7" x14ac:dyDescent="0.2">
      <c r="A102" s="18" t="s">
        <v>18</v>
      </c>
      <c r="B102" s="33"/>
      <c r="C102" s="33"/>
      <c r="D102" s="33">
        <f t="shared" si="12"/>
        <v>0</v>
      </c>
      <c r="E102" s="45">
        <v>1.014</v>
      </c>
      <c r="F102" s="34">
        <f t="shared" si="13"/>
        <v>0</v>
      </c>
      <c r="G102" s="35">
        <f t="shared" si="14"/>
        <v>0</v>
      </c>
    </row>
    <row r="103" spans="1:7" x14ac:dyDescent="0.2">
      <c r="A103" s="18" t="s">
        <v>19</v>
      </c>
      <c r="B103" s="33"/>
      <c r="C103" s="33"/>
      <c r="D103" s="33">
        <f t="shared" si="12"/>
        <v>0</v>
      </c>
      <c r="E103" s="45">
        <v>1.012</v>
      </c>
      <c r="F103" s="34">
        <f t="shared" si="13"/>
        <v>0</v>
      </c>
      <c r="G103" s="35">
        <f t="shared" si="14"/>
        <v>0</v>
      </c>
    </row>
    <row r="104" spans="1:7" x14ac:dyDescent="0.2">
      <c r="A104" s="18" t="s">
        <v>20</v>
      </c>
      <c r="B104" s="33"/>
      <c r="C104" s="33"/>
      <c r="D104" s="33">
        <f t="shared" si="12"/>
        <v>0</v>
      </c>
      <c r="E104" s="45">
        <v>1.008</v>
      </c>
      <c r="F104" s="34">
        <f t="shared" si="13"/>
        <v>0</v>
      </c>
      <c r="G104" s="35">
        <f t="shared" si="14"/>
        <v>0</v>
      </c>
    </row>
    <row r="105" spans="1:7" x14ac:dyDescent="0.2">
      <c r="A105" s="18" t="s">
        <v>21</v>
      </c>
      <c r="B105" s="33"/>
      <c r="C105" s="33"/>
      <c r="D105" s="33">
        <f t="shared" si="12"/>
        <v>0</v>
      </c>
      <c r="E105" s="45">
        <v>1.0049999999999999</v>
      </c>
      <c r="F105" s="34">
        <f t="shared" si="13"/>
        <v>0</v>
      </c>
      <c r="G105" s="35">
        <f t="shared" si="14"/>
        <v>0</v>
      </c>
    </row>
    <row r="106" spans="1:7" x14ac:dyDescent="0.2">
      <c r="A106" s="18" t="s">
        <v>22</v>
      </c>
      <c r="B106" s="33"/>
      <c r="C106" s="33"/>
      <c r="D106" s="33">
        <f t="shared" si="12"/>
        <v>0</v>
      </c>
      <c r="E106" s="45">
        <v>1.0049999999999999</v>
      </c>
      <c r="F106" s="34">
        <f t="shared" si="13"/>
        <v>0</v>
      </c>
      <c r="G106" s="35">
        <f t="shared" si="14"/>
        <v>0</v>
      </c>
    </row>
    <row r="107" spans="1:7" x14ac:dyDescent="0.2">
      <c r="A107" s="18" t="s">
        <v>23</v>
      </c>
      <c r="B107" s="33">
        <v>150209</v>
      </c>
      <c r="C107" s="33">
        <v>27879</v>
      </c>
      <c r="D107" s="33">
        <f t="shared" si="12"/>
        <v>122330</v>
      </c>
      <c r="E107" s="45">
        <v>1.002</v>
      </c>
      <c r="F107" s="34">
        <f t="shared" si="13"/>
        <v>150509.41800000001</v>
      </c>
      <c r="G107" s="35">
        <f t="shared" si="14"/>
        <v>122574.66</v>
      </c>
    </row>
    <row r="108" spans="1:7" x14ac:dyDescent="0.2">
      <c r="A108" s="18" t="s">
        <v>24</v>
      </c>
      <c r="B108" s="33">
        <v>139479</v>
      </c>
      <c r="C108" s="33">
        <v>25888</v>
      </c>
      <c r="D108" s="33">
        <f t="shared" si="12"/>
        <v>113591</v>
      </c>
      <c r="E108" s="46">
        <v>1.0009999999999999</v>
      </c>
      <c r="F108" s="34">
        <f t="shared" si="13"/>
        <v>139618.47899999999</v>
      </c>
      <c r="G108" s="35">
        <f t="shared" si="14"/>
        <v>113704.59099999999</v>
      </c>
    </row>
    <row r="109" spans="1:7" ht="13.5" thickBot="1" x14ac:dyDescent="0.25">
      <c r="A109" s="19" t="s">
        <v>25</v>
      </c>
      <c r="B109" s="33">
        <v>0</v>
      </c>
      <c r="C109" s="33">
        <v>0</v>
      </c>
      <c r="D109" s="33">
        <f t="shared" si="12"/>
        <v>0</v>
      </c>
      <c r="E109" s="46">
        <v>1</v>
      </c>
      <c r="F109" s="34">
        <f t="shared" si="13"/>
        <v>0</v>
      </c>
      <c r="G109" s="35">
        <f t="shared" si="14"/>
        <v>0</v>
      </c>
    </row>
    <row r="110" spans="1:7" ht="13.5" thickBot="1" x14ac:dyDescent="0.25">
      <c r="A110" s="20" t="s">
        <v>26</v>
      </c>
      <c r="B110" s="21">
        <f>SUM(B98:B109)</f>
        <v>289688</v>
      </c>
      <c r="C110" s="36">
        <f>SUM(C98:C109)</f>
        <v>53767</v>
      </c>
      <c r="D110" s="21">
        <f>SUM(D98:D109)</f>
        <v>235921</v>
      </c>
      <c r="E110" s="21"/>
      <c r="F110" s="21">
        <f>SUM(F98:F109)</f>
        <v>290127.897</v>
      </c>
      <c r="G110" s="21">
        <f>SUM(G98:G109)</f>
        <v>236279.25099999999</v>
      </c>
    </row>
    <row r="111" spans="1:7" ht="13.5" thickBot="1" x14ac:dyDescent="0.25"/>
    <row r="112" spans="1:7" x14ac:dyDescent="0.2">
      <c r="A112" s="4" t="s">
        <v>27</v>
      </c>
      <c r="B112" s="5" t="s">
        <v>50</v>
      </c>
      <c r="C112" s="5"/>
      <c r="D112" s="6"/>
      <c r="E112" s="2"/>
      <c r="F112" s="3"/>
      <c r="G112" s="2">
        <v>5</v>
      </c>
    </row>
    <row r="113" spans="1:7" ht="13.5" thickBot="1" x14ac:dyDescent="0.25">
      <c r="A113" s="22" t="s">
        <v>1</v>
      </c>
      <c r="B113" s="11" t="s">
        <v>51</v>
      </c>
      <c r="C113" s="23"/>
      <c r="D113" s="24"/>
      <c r="E113" s="25"/>
      <c r="F113" s="25"/>
      <c r="G113" s="26"/>
    </row>
    <row r="114" spans="1:7" x14ac:dyDescent="0.2">
      <c r="A114" s="27" t="s">
        <v>3</v>
      </c>
      <c r="B114" s="28" t="s">
        <v>4</v>
      </c>
      <c r="C114" s="28" t="s">
        <v>5</v>
      </c>
      <c r="D114" s="28" t="s">
        <v>6</v>
      </c>
      <c r="E114" s="29" t="s">
        <v>7</v>
      </c>
      <c r="F114" s="15" t="s">
        <v>29</v>
      </c>
      <c r="G114" s="30" t="s">
        <v>8</v>
      </c>
    </row>
    <row r="115" spans="1:7" ht="13.5" thickBot="1" x14ac:dyDescent="0.25">
      <c r="A115" s="31"/>
      <c r="B115" s="28" t="s">
        <v>9</v>
      </c>
      <c r="C115" s="16" t="s">
        <v>10</v>
      </c>
      <c r="D115" s="16" t="s">
        <v>11</v>
      </c>
      <c r="E115" s="32" t="s">
        <v>12</v>
      </c>
      <c r="F115" s="16" t="s">
        <v>30</v>
      </c>
      <c r="G115" s="17" t="s">
        <v>13</v>
      </c>
    </row>
    <row r="116" spans="1:7" x14ac:dyDescent="0.2">
      <c r="A116" s="18" t="s">
        <v>14</v>
      </c>
      <c r="B116" s="33"/>
      <c r="C116" s="33"/>
      <c r="D116" s="33">
        <f t="shared" ref="D116:D127" si="15">B116-C116</f>
        <v>0</v>
      </c>
      <c r="E116" s="45">
        <v>1.0289999999999999</v>
      </c>
      <c r="F116" s="34">
        <f t="shared" ref="F116:F127" si="16">B116*E116</f>
        <v>0</v>
      </c>
      <c r="G116" s="35">
        <f t="shared" ref="G116:G127" si="17">D116*E116</f>
        <v>0</v>
      </c>
    </row>
    <row r="117" spans="1:7" x14ac:dyDescent="0.2">
      <c r="A117" s="18" t="s">
        <v>15</v>
      </c>
      <c r="B117" s="33"/>
      <c r="C117" s="33"/>
      <c r="D117" s="33">
        <f t="shared" si="15"/>
        <v>0</v>
      </c>
      <c r="E117" s="45">
        <v>1.024</v>
      </c>
      <c r="F117" s="34">
        <f t="shared" si="16"/>
        <v>0</v>
      </c>
      <c r="G117" s="35">
        <f t="shared" si="17"/>
        <v>0</v>
      </c>
    </row>
    <row r="118" spans="1:7" x14ac:dyDescent="0.2">
      <c r="A118" s="18" t="s">
        <v>16</v>
      </c>
      <c r="B118" s="33"/>
      <c r="C118" s="33"/>
      <c r="D118" s="33">
        <f t="shared" si="15"/>
        <v>0</v>
      </c>
      <c r="E118" s="45">
        <v>1.022</v>
      </c>
      <c r="F118" s="34">
        <f t="shared" si="16"/>
        <v>0</v>
      </c>
      <c r="G118" s="35">
        <f t="shared" si="17"/>
        <v>0</v>
      </c>
    </row>
    <row r="119" spans="1:7" x14ac:dyDescent="0.2">
      <c r="A119" s="18" t="s">
        <v>17</v>
      </c>
      <c r="B119" s="33">
        <v>83333</v>
      </c>
      <c r="C119" s="33">
        <v>15766</v>
      </c>
      <c r="D119" s="33">
        <f t="shared" si="15"/>
        <v>67567</v>
      </c>
      <c r="E119" s="45">
        <v>1.018</v>
      </c>
      <c r="F119" s="34">
        <f t="shared" si="16"/>
        <v>84832.994000000006</v>
      </c>
      <c r="G119" s="35">
        <f t="shared" si="17"/>
        <v>68783.206000000006</v>
      </c>
    </row>
    <row r="120" spans="1:7" x14ac:dyDescent="0.2">
      <c r="A120" s="18" t="s">
        <v>18</v>
      </c>
      <c r="B120" s="33">
        <v>293064</v>
      </c>
      <c r="C120" s="33">
        <v>57704</v>
      </c>
      <c r="D120" s="33">
        <f t="shared" si="15"/>
        <v>235360</v>
      </c>
      <c r="E120" s="45">
        <v>1.014</v>
      </c>
      <c r="F120" s="34">
        <f t="shared" si="16"/>
        <v>297166.89600000001</v>
      </c>
      <c r="G120" s="35">
        <f t="shared" si="17"/>
        <v>238655.04</v>
      </c>
    </row>
    <row r="121" spans="1:7" x14ac:dyDescent="0.2">
      <c r="A121" s="18" t="s">
        <v>19</v>
      </c>
      <c r="B121" s="33">
        <v>324164</v>
      </c>
      <c r="C121" s="33">
        <v>65772</v>
      </c>
      <c r="D121" s="33">
        <f t="shared" si="15"/>
        <v>258392</v>
      </c>
      <c r="E121" s="45">
        <v>1.012</v>
      </c>
      <c r="F121" s="34">
        <f t="shared" si="16"/>
        <v>328053.96799999999</v>
      </c>
      <c r="G121" s="35">
        <f t="shared" si="17"/>
        <v>261492.704</v>
      </c>
    </row>
    <row r="122" spans="1:7" x14ac:dyDescent="0.2">
      <c r="A122" s="18" t="s">
        <v>20</v>
      </c>
      <c r="B122" s="33">
        <v>331176</v>
      </c>
      <c r="C122" s="33">
        <v>67195</v>
      </c>
      <c r="D122" s="33">
        <f t="shared" si="15"/>
        <v>263981</v>
      </c>
      <c r="E122" s="45">
        <v>1.008</v>
      </c>
      <c r="F122" s="34">
        <f t="shared" si="16"/>
        <v>333825.408</v>
      </c>
      <c r="G122" s="35">
        <f t="shared" si="17"/>
        <v>266092.848</v>
      </c>
    </row>
    <row r="123" spans="1:7" x14ac:dyDescent="0.2">
      <c r="A123" s="18" t="s">
        <v>21</v>
      </c>
      <c r="B123" s="33">
        <v>331890</v>
      </c>
      <c r="C123" s="33">
        <v>67340</v>
      </c>
      <c r="D123" s="33">
        <f t="shared" si="15"/>
        <v>264550</v>
      </c>
      <c r="E123" s="45">
        <v>1.0049999999999999</v>
      </c>
      <c r="F123" s="34">
        <f t="shared" si="16"/>
        <v>333549.44999999995</v>
      </c>
      <c r="G123" s="35">
        <f t="shared" si="17"/>
        <v>265872.75</v>
      </c>
    </row>
    <row r="124" spans="1:7" x14ac:dyDescent="0.2">
      <c r="A124" s="18" t="s">
        <v>22</v>
      </c>
      <c r="B124" s="33">
        <v>0</v>
      </c>
      <c r="C124" s="33">
        <v>0</v>
      </c>
      <c r="D124" s="33">
        <f t="shared" si="15"/>
        <v>0</v>
      </c>
      <c r="E124" s="45">
        <v>1.0049999999999999</v>
      </c>
      <c r="F124" s="34">
        <f t="shared" si="16"/>
        <v>0</v>
      </c>
      <c r="G124" s="35">
        <f t="shared" si="17"/>
        <v>0</v>
      </c>
    </row>
    <row r="125" spans="1:7" x14ac:dyDescent="0.2">
      <c r="A125" s="18" t="s">
        <v>23</v>
      </c>
      <c r="B125" s="33">
        <v>150209</v>
      </c>
      <c r="C125" s="33">
        <v>30478</v>
      </c>
      <c r="D125" s="33">
        <f t="shared" si="15"/>
        <v>119731</v>
      </c>
      <c r="E125" s="45">
        <v>1.002</v>
      </c>
      <c r="F125" s="34">
        <f t="shared" si="16"/>
        <v>150509.41800000001</v>
      </c>
      <c r="G125" s="35">
        <f t="shared" si="17"/>
        <v>119970.462</v>
      </c>
    </row>
    <row r="126" spans="1:7" x14ac:dyDescent="0.2">
      <c r="A126" s="18" t="s">
        <v>24</v>
      </c>
      <c r="B126" s="33">
        <v>0</v>
      </c>
      <c r="C126" s="33">
        <v>0</v>
      </c>
      <c r="D126" s="33">
        <f t="shared" si="15"/>
        <v>0</v>
      </c>
      <c r="E126" s="46">
        <v>1.0009999999999999</v>
      </c>
      <c r="F126" s="34">
        <f t="shared" si="16"/>
        <v>0</v>
      </c>
      <c r="G126" s="35">
        <f t="shared" si="17"/>
        <v>0</v>
      </c>
    </row>
    <row r="127" spans="1:7" ht="13.5" thickBot="1" x14ac:dyDescent="0.25">
      <c r="A127" s="19" t="s">
        <v>25</v>
      </c>
      <c r="B127" s="33">
        <v>204479</v>
      </c>
      <c r="C127" s="33">
        <v>41489</v>
      </c>
      <c r="D127" s="33">
        <f t="shared" si="15"/>
        <v>162990</v>
      </c>
      <c r="E127" s="46">
        <v>1</v>
      </c>
      <c r="F127" s="34">
        <f t="shared" si="16"/>
        <v>204479</v>
      </c>
      <c r="G127" s="35">
        <f t="shared" si="17"/>
        <v>162990</v>
      </c>
    </row>
    <row r="128" spans="1:7" ht="13.5" thickBot="1" x14ac:dyDescent="0.25">
      <c r="A128" s="20" t="s">
        <v>26</v>
      </c>
      <c r="B128" s="21">
        <f>SUM(B116:B127)</f>
        <v>1718315</v>
      </c>
      <c r="C128" s="36">
        <f>SUM(C116:C127)</f>
        <v>345744</v>
      </c>
      <c r="D128" s="21">
        <f>SUM(D116:D127)</f>
        <v>1372571</v>
      </c>
      <c r="E128" s="21"/>
      <c r="F128" s="21">
        <f>SUM(F116:F127)</f>
        <v>1732417.1340000001</v>
      </c>
      <c r="G128" s="21">
        <f>SUM(G116:G127)</f>
        <v>1383857.01</v>
      </c>
    </row>
    <row r="129" spans="1:7" ht="13.5" thickBot="1" x14ac:dyDescent="0.25"/>
    <row r="130" spans="1:7" x14ac:dyDescent="0.2">
      <c r="A130" s="4" t="s">
        <v>27</v>
      </c>
      <c r="B130" s="5" t="s">
        <v>52</v>
      </c>
      <c r="C130" s="5"/>
      <c r="D130" s="6"/>
      <c r="E130" s="2"/>
      <c r="F130" s="3"/>
      <c r="G130" s="2">
        <v>6</v>
      </c>
    </row>
    <row r="131" spans="1:7" ht="13.5" thickBot="1" x14ac:dyDescent="0.25">
      <c r="A131" s="22" t="s">
        <v>1</v>
      </c>
      <c r="B131" s="11" t="s">
        <v>53</v>
      </c>
      <c r="C131" s="23"/>
      <c r="D131" s="24"/>
      <c r="E131" s="25"/>
      <c r="F131" s="25"/>
      <c r="G131" s="26"/>
    </row>
    <row r="132" spans="1:7" x14ac:dyDescent="0.2">
      <c r="A132" s="27" t="s">
        <v>3</v>
      </c>
      <c r="B132" s="28" t="s">
        <v>4</v>
      </c>
      <c r="C132" s="28" t="s">
        <v>5</v>
      </c>
      <c r="D132" s="28" t="s">
        <v>6</v>
      </c>
      <c r="E132" s="29" t="s">
        <v>7</v>
      </c>
      <c r="F132" s="15" t="s">
        <v>29</v>
      </c>
      <c r="G132" s="30" t="s">
        <v>8</v>
      </c>
    </row>
    <row r="133" spans="1:7" ht="13.5" thickBot="1" x14ac:dyDescent="0.25">
      <c r="A133" s="31"/>
      <c r="B133" s="28" t="s">
        <v>9</v>
      </c>
      <c r="C133" s="16" t="s">
        <v>10</v>
      </c>
      <c r="D133" s="16" t="s">
        <v>11</v>
      </c>
      <c r="E133" s="32" t="s">
        <v>12</v>
      </c>
      <c r="F133" s="16" t="s">
        <v>30</v>
      </c>
      <c r="G133" s="17" t="s">
        <v>13</v>
      </c>
    </row>
    <row r="134" spans="1:7" x14ac:dyDescent="0.2">
      <c r="A134" s="18" t="s">
        <v>14</v>
      </c>
      <c r="B134" s="33">
        <v>0</v>
      </c>
      <c r="C134" s="33">
        <v>0</v>
      </c>
      <c r="D134" s="33">
        <f t="shared" ref="D134:D145" si="18">B134-C134</f>
        <v>0</v>
      </c>
      <c r="E134" s="45">
        <v>1.0289999999999999</v>
      </c>
      <c r="F134" s="34">
        <f t="shared" ref="F134:F145" si="19">B134*E134</f>
        <v>0</v>
      </c>
      <c r="G134" s="35">
        <f t="shared" ref="G134:G145" si="20">D134*E134</f>
        <v>0</v>
      </c>
    </row>
    <row r="135" spans="1:7" x14ac:dyDescent="0.2">
      <c r="A135" s="18" t="s">
        <v>15</v>
      </c>
      <c r="B135" s="33">
        <v>0</v>
      </c>
      <c r="C135" s="33">
        <v>0</v>
      </c>
      <c r="D135" s="33">
        <f t="shared" si="18"/>
        <v>0</v>
      </c>
      <c r="E135" s="45">
        <v>1.024</v>
      </c>
      <c r="F135" s="34">
        <f t="shared" si="19"/>
        <v>0</v>
      </c>
      <c r="G135" s="35">
        <f t="shared" si="20"/>
        <v>0</v>
      </c>
    </row>
    <row r="136" spans="1:7" x14ac:dyDescent="0.2">
      <c r="A136" s="18" t="s">
        <v>16</v>
      </c>
      <c r="B136" s="33">
        <v>0</v>
      </c>
      <c r="C136" s="33">
        <v>0</v>
      </c>
      <c r="D136" s="33">
        <f t="shared" si="18"/>
        <v>0</v>
      </c>
      <c r="E136" s="45">
        <v>1.022</v>
      </c>
      <c r="F136" s="34">
        <f t="shared" si="19"/>
        <v>0</v>
      </c>
      <c r="G136" s="35">
        <f t="shared" si="20"/>
        <v>0</v>
      </c>
    </row>
    <row r="137" spans="1:7" x14ac:dyDescent="0.2">
      <c r="A137" s="18" t="s">
        <v>17</v>
      </c>
      <c r="B137" s="33">
        <v>108333</v>
      </c>
      <c r="C137" s="33">
        <v>21980</v>
      </c>
      <c r="D137" s="33">
        <f t="shared" si="18"/>
        <v>86353</v>
      </c>
      <c r="E137" s="45">
        <v>1.018</v>
      </c>
      <c r="F137" s="34">
        <f t="shared" si="19"/>
        <v>110282.99400000001</v>
      </c>
      <c r="G137" s="35">
        <f t="shared" si="20"/>
        <v>87907.354000000007</v>
      </c>
    </row>
    <row r="138" spans="1:7" x14ac:dyDescent="0.2">
      <c r="A138" s="18" t="s">
        <v>18</v>
      </c>
      <c r="B138" s="33">
        <v>238000</v>
      </c>
      <c r="C138" s="33">
        <v>48290</v>
      </c>
      <c r="D138" s="33">
        <f t="shared" si="18"/>
        <v>189710</v>
      </c>
      <c r="E138" s="45">
        <v>1.014</v>
      </c>
      <c r="F138" s="34">
        <f t="shared" si="19"/>
        <v>241332</v>
      </c>
      <c r="G138" s="35">
        <f t="shared" si="20"/>
        <v>192365.94</v>
      </c>
    </row>
    <row r="139" spans="1:7" x14ac:dyDescent="0.2">
      <c r="A139" s="18" t="s">
        <v>19</v>
      </c>
      <c r="B139" s="33">
        <v>265625</v>
      </c>
      <c r="C139" s="33">
        <v>53896</v>
      </c>
      <c r="D139" s="33">
        <f t="shared" si="18"/>
        <v>211729</v>
      </c>
      <c r="E139" s="45">
        <v>1.012</v>
      </c>
      <c r="F139" s="34">
        <f t="shared" si="19"/>
        <v>268812.5</v>
      </c>
      <c r="G139" s="35">
        <f t="shared" si="20"/>
        <v>214269.74799999999</v>
      </c>
    </row>
    <row r="140" spans="1:7" x14ac:dyDescent="0.2">
      <c r="A140" s="18" t="s">
        <v>20</v>
      </c>
      <c r="B140" s="33">
        <v>75104</v>
      </c>
      <c r="C140" s="33">
        <v>15239</v>
      </c>
      <c r="D140" s="33">
        <f t="shared" si="18"/>
        <v>59865</v>
      </c>
      <c r="E140" s="45">
        <v>1.008</v>
      </c>
      <c r="F140" s="34">
        <f t="shared" si="19"/>
        <v>75704.831999999995</v>
      </c>
      <c r="G140" s="35">
        <f t="shared" si="20"/>
        <v>60343.92</v>
      </c>
    </row>
    <row r="141" spans="1:7" x14ac:dyDescent="0.2">
      <c r="A141" s="18" t="s">
        <v>21</v>
      </c>
      <c r="B141" s="33"/>
      <c r="C141" s="33"/>
      <c r="D141" s="33">
        <f t="shared" si="18"/>
        <v>0</v>
      </c>
      <c r="E141" s="45">
        <v>1.0049999999999999</v>
      </c>
      <c r="F141" s="34">
        <f t="shared" si="19"/>
        <v>0</v>
      </c>
      <c r="G141" s="35">
        <f t="shared" si="20"/>
        <v>0</v>
      </c>
    </row>
    <row r="142" spans="1:7" x14ac:dyDescent="0.2">
      <c r="A142" s="18" t="s">
        <v>22</v>
      </c>
      <c r="B142" s="33"/>
      <c r="C142" s="33"/>
      <c r="D142" s="33">
        <f t="shared" si="18"/>
        <v>0</v>
      </c>
      <c r="E142" s="45">
        <v>1.0049999999999999</v>
      </c>
      <c r="F142" s="34">
        <f t="shared" si="19"/>
        <v>0</v>
      </c>
      <c r="G142" s="35">
        <f t="shared" si="20"/>
        <v>0</v>
      </c>
    </row>
    <row r="143" spans="1:7" x14ac:dyDescent="0.2">
      <c r="A143" s="18" t="s">
        <v>23</v>
      </c>
      <c r="B143" s="33"/>
      <c r="C143" s="33"/>
      <c r="D143" s="33">
        <f t="shared" si="18"/>
        <v>0</v>
      </c>
      <c r="E143" s="45">
        <v>1.002</v>
      </c>
      <c r="F143" s="34">
        <f t="shared" si="19"/>
        <v>0</v>
      </c>
      <c r="G143" s="35">
        <f t="shared" si="20"/>
        <v>0</v>
      </c>
    </row>
    <row r="144" spans="1:7" x14ac:dyDescent="0.2">
      <c r="A144" s="18" t="s">
        <v>24</v>
      </c>
      <c r="B144" s="33"/>
      <c r="C144" s="33"/>
      <c r="D144" s="33">
        <f t="shared" si="18"/>
        <v>0</v>
      </c>
      <c r="E144" s="46">
        <v>1.0009999999999999</v>
      </c>
      <c r="F144" s="34">
        <f t="shared" si="19"/>
        <v>0</v>
      </c>
      <c r="G144" s="35">
        <f t="shared" si="20"/>
        <v>0</v>
      </c>
    </row>
    <row r="145" spans="1:7" ht="13.5" thickBot="1" x14ac:dyDescent="0.25">
      <c r="A145" s="19" t="s">
        <v>25</v>
      </c>
      <c r="B145" s="33"/>
      <c r="C145" s="33"/>
      <c r="D145" s="33">
        <f t="shared" si="18"/>
        <v>0</v>
      </c>
      <c r="E145" s="46">
        <v>1</v>
      </c>
      <c r="F145" s="34">
        <f t="shared" si="19"/>
        <v>0</v>
      </c>
      <c r="G145" s="35">
        <f t="shared" si="20"/>
        <v>0</v>
      </c>
    </row>
    <row r="146" spans="1:7" ht="13.5" thickBot="1" x14ac:dyDescent="0.25">
      <c r="A146" s="20" t="s">
        <v>26</v>
      </c>
      <c r="B146" s="21">
        <f>SUM(B134:B145)</f>
        <v>687062</v>
      </c>
      <c r="C146" s="36">
        <f>SUM(C134:C145)</f>
        <v>139405</v>
      </c>
      <c r="D146" s="21">
        <f>SUM(D134:D145)</f>
        <v>547657</v>
      </c>
      <c r="E146" s="21"/>
      <c r="F146" s="21">
        <f>SUM(F134:F145)</f>
        <v>696132.32599999988</v>
      </c>
      <c r="G146" s="21">
        <f>SUM(G134:G145)</f>
        <v>554886.96200000006</v>
      </c>
    </row>
    <row r="147" spans="1:7" x14ac:dyDescent="0.2">
      <c r="A147" s="9"/>
      <c r="B147" s="7"/>
      <c r="C147" s="7"/>
      <c r="D147" s="7"/>
      <c r="E147" s="7"/>
      <c r="F147" s="7"/>
      <c r="G147" s="7"/>
    </row>
  </sheetData>
  <phoneticPr fontId="0" type="noConversion"/>
  <pageMargins left="0.75" right="0.75" top="1" bottom="1" header="0" footer="0"/>
  <pageSetup orientation="landscape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V338"/>
  <sheetViews>
    <sheetView tabSelected="1" workbookViewId="0">
      <selection activeCell="S325" sqref="S325"/>
    </sheetView>
  </sheetViews>
  <sheetFormatPr baseColWidth="10" defaultRowHeight="11.25" x14ac:dyDescent="0.2"/>
  <cols>
    <col min="1" max="1" width="10" style="60" customWidth="1"/>
    <col min="2" max="2" width="10.28515625" style="60" customWidth="1"/>
    <col min="3" max="3" width="11" style="60" customWidth="1"/>
    <col min="4" max="4" width="8.42578125" style="60" customWidth="1"/>
    <col min="5" max="5" width="10" style="60" customWidth="1"/>
    <col min="6" max="6" width="7.28515625" style="61" customWidth="1"/>
    <col min="7" max="7" width="10.7109375" style="60" customWidth="1"/>
    <col min="8" max="8" width="13.42578125" style="60" customWidth="1"/>
    <col min="9" max="9" width="10.28515625" style="60" customWidth="1"/>
    <col min="10" max="10" width="0" style="60" hidden="1" customWidth="1"/>
    <col min="11" max="11" width="13.85546875" style="60" customWidth="1"/>
    <col min="12" max="12" width="8.42578125" style="60" customWidth="1"/>
    <col min="13" max="14" width="11.42578125" style="60"/>
    <col min="15" max="15" width="5" style="111" customWidth="1"/>
    <col min="16" max="16" width="9" style="60" bestFit="1" customWidth="1"/>
    <col min="17" max="17" width="9" style="60" customWidth="1"/>
    <col min="18" max="19" width="8.28515625" style="60" customWidth="1"/>
    <col min="20" max="21" width="9.85546875" style="60" customWidth="1"/>
    <col min="22" max="16384" width="11.42578125" style="60"/>
  </cols>
  <sheetData>
    <row r="1" spans="1:21" x14ac:dyDescent="0.2">
      <c r="A1" s="59" t="s">
        <v>28</v>
      </c>
      <c r="G1" s="62"/>
    </row>
    <row r="2" spans="1:21" ht="12" thickBot="1" x14ac:dyDescent="0.25">
      <c r="G2" s="62"/>
    </row>
    <row r="3" spans="1:21" x14ac:dyDescent="0.2">
      <c r="A3" s="63" t="s">
        <v>0</v>
      </c>
      <c r="B3" s="64"/>
      <c r="C3" s="64" t="s">
        <v>58</v>
      </c>
      <c r="D3" s="64"/>
      <c r="E3" s="64"/>
      <c r="F3" s="65"/>
      <c r="G3" s="66"/>
    </row>
    <row r="4" spans="1:21" x14ac:dyDescent="0.2">
      <c r="A4" s="67" t="s">
        <v>1</v>
      </c>
      <c r="B4" s="68"/>
      <c r="C4" s="68" t="s">
        <v>59</v>
      </c>
      <c r="D4" s="68"/>
      <c r="E4" s="68"/>
      <c r="F4" s="69"/>
      <c r="G4" s="70"/>
    </row>
    <row r="5" spans="1:21" ht="12" thickBot="1" x14ac:dyDescent="0.25">
      <c r="A5" s="71" t="s">
        <v>2</v>
      </c>
      <c r="B5" s="72"/>
      <c r="C5" s="72" t="s">
        <v>57</v>
      </c>
      <c r="D5" s="72"/>
      <c r="E5" s="72"/>
      <c r="F5" s="73"/>
      <c r="G5" s="74"/>
    </row>
    <row r="6" spans="1:21" x14ac:dyDescent="0.2">
      <c r="A6" s="68"/>
      <c r="B6" s="68"/>
      <c r="C6" s="68"/>
      <c r="D6" s="68"/>
      <c r="E6" s="68"/>
      <c r="F6" s="69"/>
      <c r="G6" s="75"/>
    </row>
    <row r="7" spans="1:21" ht="12" thickBot="1" x14ac:dyDescent="0.25">
      <c r="A7" s="76"/>
      <c r="B7" s="68"/>
      <c r="C7" s="75"/>
      <c r="D7" s="75"/>
      <c r="E7" s="75"/>
      <c r="F7" s="77"/>
      <c r="G7" s="78"/>
      <c r="H7" s="79"/>
    </row>
    <row r="8" spans="1:21" ht="12" thickBot="1" x14ac:dyDescent="0.25">
      <c r="A8" s="43" t="s">
        <v>3</v>
      </c>
      <c r="B8" s="39" t="s">
        <v>4</v>
      </c>
      <c r="C8" s="47" t="s">
        <v>5</v>
      </c>
      <c r="D8" s="39" t="s">
        <v>90</v>
      </c>
      <c r="E8" s="39" t="s">
        <v>6</v>
      </c>
      <c r="F8" s="43" t="s">
        <v>7</v>
      </c>
      <c r="G8" s="39" t="s">
        <v>68</v>
      </c>
      <c r="H8" s="39" t="s">
        <v>8</v>
      </c>
      <c r="I8" s="43" t="s">
        <v>65</v>
      </c>
      <c r="J8" s="59"/>
      <c r="K8" s="43" t="s">
        <v>71</v>
      </c>
      <c r="L8" s="43" t="s">
        <v>73</v>
      </c>
      <c r="M8" s="43" t="s">
        <v>75</v>
      </c>
      <c r="N8" s="43" t="s">
        <v>76</v>
      </c>
      <c r="P8" s="142" t="s">
        <v>92</v>
      </c>
      <c r="Q8" s="143"/>
      <c r="R8" s="143"/>
      <c r="S8" s="143"/>
      <c r="T8" s="143"/>
      <c r="U8" s="144"/>
    </row>
    <row r="9" spans="1:21" ht="12" thickBot="1" x14ac:dyDescent="0.25">
      <c r="A9" s="44"/>
      <c r="B9" s="41" t="s">
        <v>9</v>
      </c>
      <c r="C9" s="48" t="s">
        <v>10</v>
      </c>
      <c r="D9" s="41" t="s">
        <v>91</v>
      </c>
      <c r="E9" s="41" t="s">
        <v>67</v>
      </c>
      <c r="F9" s="44" t="s">
        <v>12</v>
      </c>
      <c r="G9" s="41" t="s">
        <v>69</v>
      </c>
      <c r="H9" s="41" t="s">
        <v>70</v>
      </c>
      <c r="I9" s="44" t="s">
        <v>66</v>
      </c>
      <c r="J9" s="59"/>
      <c r="K9" s="44" t="s">
        <v>72</v>
      </c>
      <c r="L9" s="44" t="s">
        <v>74</v>
      </c>
      <c r="M9" s="44" t="s">
        <v>69</v>
      </c>
      <c r="N9" s="44" t="s">
        <v>77</v>
      </c>
      <c r="O9" s="118"/>
      <c r="P9" s="121" t="s">
        <v>93</v>
      </c>
      <c r="Q9" s="122" t="s">
        <v>94</v>
      </c>
      <c r="R9" s="122" t="s">
        <v>95</v>
      </c>
      <c r="S9" s="130" t="s">
        <v>106</v>
      </c>
      <c r="T9" s="130" t="s">
        <v>96</v>
      </c>
      <c r="U9" s="134" t="s">
        <v>97</v>
      </c>
    </row>
    <row r="10" spans="1:21" ht="12.75" x14ac:dyDescent="0.2">
      <c r="A10" s="49" t="s">
        <v>14</v>
      </c>
      <c r="B10" s="80">
        <f>B32+B55+B80+B112+B137+B157+B179+B205+B225+B245+B266+B286+B306+B326</f>
        <v>7235415</v>
      </c>
      <c r="C10" s="80">
        <f>C32+C55+C80+C112+C137+C157+C179+C205+C225+C245+C266+C286+C306+C326</f>
        <v>1328806</v>
      </c>
      <c r="D10" s="80">
        <f>D32+D55+D80+D112+D137+D157+D179+D205+D225+D245+D266+D286+D306+D326</f>
        <v>7235.4150000000009</v>
      </c>
      <c r="E10" s="80">
        <f>E32+E55+E80+E112+E137+E157+E179+E205+E225+E245+E266+E286+E306+E326</f>
        <v>5937316</v>
      </c>
      <c r="F10" s="125">
        <v>1.036</v>
      </c>
      <c r="G10" s="80">
        <f>G32+G55+G80+G112+G137+G157+G179+G205+G225+G245+G266+G326+G286+G306</f>
        <v>7495889.9399999995</v>
      </c>
      <c r="H10" s="80">
        <f t="shared" ref="H10:N10" si="0">H32+H55+H80+H112+H137+H157+H179+H205+H225+H245+H266+H326+H286+H306</f>
        <v>6151059.3760000002</v>
      </c>
      <c r="I10" s="80">
        <f t="shared" si="0"/>
        <v>507012.41499999992</v>
      </c>
      <c r="J10" s="80">
        <f t="shared" si="0"/>
        <v>0</v>
      </c>
      <c r="K10" s="80">
        <f t="shared" si="0"/>
        <v>1768293.415</v>
      </c>
      <c r="L10" s="80">
        <f t="shared" si="0"/>
        <v>36818</v>
      </c>
      <c r="M10" s="80">
        <f t="shared" si="0"/>
        <v>38143.448000000004</v>
      </c>
      <c r="N10" s="80">
        <f t="shared" si="0"/>
        <v>67525</v>
      </c>
      <c r="O10" s="118"/>
      <c r="P10" s="96">
        <f>P32+P55+P80+P112+P137+P157+P179+P205+P225+P245+P266+P286+P306+P326</f>
        <v>137194</v>
      </c>
      <c r="Q10" s="96">
        <f>Q32+Q55+Q80+Q112+Q137+Q157+Q179+Q205+Q225+Q245+Q266+Q286+Q306+Q326</f>
        <v>214613</v>
      </c>
      <c r="R10" s="96">
        <f>R32+R55+R80+R112+R137+R157+R179+R205+R225+R245+R266+R286+R306+R326</f>
        <v>67792</v>
      </c>
      <c r="S10" s="96"/>
      <c r="T10" s="96">
        <f>T32+T55+T80+T112+T137+T157+T179+T205+T225+T245+T266+T286+T306+T326</f>
        <v>80178</v>
      </c>
      <c r="U10" s="96">
        <f>U32+U55+U80+U112+U137+U157+U179+U205+U225+U245+U266+U286+U306+U326</f>
        <v>7235.4150000000009</v>
      </c>
    </row>
    <row r="11" spans="1:21" ht="12.75" x14ac:dyDescent="0.2">
      <c r="A11" s="49" t="s">
        <v>15</v>
      </c>
      <c r="B11" s="80">
        <f t="shared" ref="B11:E22" si="1">B33+B56+B81+B113+B138+B158+B180+B206+B226+B246+B267+B287+B307+B327</f>
        <v>7290146</v>
      </c>
      <c r="C11" s="80">
        <f t="shared" si="1"/>
        <v>1338192</v>
      </c>
      <c r="D11" s="80">
        <f t="shared" si="1"/>
        <v>7290.1460000000006</v>
      </c>
      <c r="E11" s="80">
        <f t="shared" si="1"/>
        <v>5975306</v>
      </c>
      <c r="F11" s="126">
        <v>1.026</v>
      </c>
      <c r="G11" s="80">
        <f t="shared" ref="G11:I22" si="2">G33+G56+G81+G113+G138+G158+G180+G206+G226+G246+G267+G327+G287+G307</f>
        <v>7479689.7960000001</v>
      </c>
      <c r="H11" s="80">
        <f t="shared" si="2"/>
        <v>6130663.9560000002</v>
      </c>
      <c r="I11" s="80">
        <f t="shared" si="2"/>
        <v>517284.14600000001</v>
      </c>
      <c r="K11" s="80">
        <f t="shared" ref="K11:N18" si="3">K33+K56+K81+K113+K138+K158+K180+K206+K226+K246+K267+K327+K287+K307</f>
        <v>1795154.1460000002</v>
      </c>
      <c r="L11" s="80">
        <f t="shared" si="3"/>
        <v>36970</v>
      </c>
      <c r="M11" s="80">
        <f t="shared" si="3"/>
        <v>37931.22</v>
      </c>
      <c r="N11" s="80">
        <f t="shared" si="3"/>
        <v>60322</v>
      </c>
      <c r="O11" s="118"/>
      <c r="P11" s="96">
        <f t="shared" ref="P11:U22" si="4">P33+P56+P81+P113+P138+P158+P180+P206+P226+P246+P267+P287+P307+P327</f>
        <v>143398</v>
      </c>
      <c r="Q11" s="96">
        <f t="shared" si="4"/>
        <v>215388</v>
      </c>
      <c r="R11" s="96">
        <f t="shared" si="4"/>
        <v>68404</v>
      </c>
      <c r="S11" s="96"/>
      <c r="T11" s="96">
        <f t="shared" si="4"/>
        <v>83804</v>
      </c>
      <c r="U11" s="96">
        <f t="shared" si="4"/>
        <v>7290.1460000000006</v>
      </c>
    </row>
    <row r="12" spans="1:21" ht="12.75" x14ac:dyDescent="0.2">
      <c r="A12" s="49" t="s">
        <v>16</v>
      </c>
      <c r="B12" s="80">
        <f t="shared" si="1"/>
        <v>8162342</v>
      </c>
      <c r="C12" s="80">
        <f t="shared" si="1"/>
        <v>1488559</v>
      </c>
      <c r="D12" s="80">
        <f t="shared" si="1"/>
        <v>8162.3420000000006</v>
      </c>
      <c r="E12" s="80">
        <f t="shared" si="1"/>
        <v>6677628</v>
      </c>
      <c r="F12" s="126">
        <v>1.022</v>
      </c>
      <c r="G12" s="80">
        <f t="shared" si="2"/>
        <v>8341913.5239999993</v>
      </c>
      <c r="H12" s="80">
        <f t="shared" si="2"/>
        <v>6824535.8160000006</v>
      </c>
      <c r="I12" s="80">
        <f t="shared" si="2"/>
        <v>545957.34199999995</v>
      </c>
      <c r="K12" s="80">
        <f t="shared" si="3"/>
        <v>1994001.3420000002</v>
      </c>
      <c r="L12" s="80">
        <f t="shared" si="3"/>
        <v>36670</v>
      </c>
      <c r="M12" s="80">
        <f t="shared" si="3"/>
        <v>37476.74</v>
      </c>
      <c r="N12" s="80">
        <f t="shared" si="3"/>
        <v>40515</v>
      </c>
      <c r="O12" s="118"/>
      <c r="P12" s="96">
        <f t="shared" si="4"/>
        <v>146454</v>
      </c>
      <c r="Q12" s="96">
        <f t="shared" si="4"/>
        <v>230437</v>
      </c>
      <c r="R12" s="96">
        <f t="shared" si="4"/>
        <v>76314</v>
      </c>
      <c r="S12" s="96"/>
      <c r="T12" s="96">
        <f t="shared" si="4"/>
        <v>85590</v>
      </c>
      <c r="U12" s="96">
        <f t="shared" si="4"/>
        <v>8162.3420000000006</v>
      </c>
    </row>
    <row r="13" spans="1:21" ht="12.75" x14ac:dyDescent="0.2">
      <c r="A13" s="49" t="s">
        <v>17</v>
      </c>
      <c r="B13" s="80">
        <f t="shared" si="1"/>
        <v>9030667</v>
      </c>
      <c r="C13" s="80">
        <f t="shared" si="1"/>
        <v>1640843</v>
      </c>
      <c r="D13" s="80">
        <f t="shared" si="1"/>
        <v>9030.6670000000013</v>
      </c>
      <c r="E13" s="80">
        <f t="shared" si="1"/>
        <v>7366659</v>
      </c>
      <c r="F13" s="126">
        <v>1.016</v>
      </c>
      <c r="G13" s="80">
        <f t="shared" si="2"/>
        <v>9175157.6720000003</v>
      </c>
      <c r="H13" s="80">
        <f t="shared" si="2"/>
        <v>7484525.5440000016</v>
      </c>
      <c r="I13" s="80">
        <f t="shared" si="2"/>
        <v>614483.66700000002</v>
      </c>
      <c r="K13" s="80">
        <f t="shared" si="3"/>
        <v>2241821.6670000004</v>
      </c>
      <c r="L13" s="80">
        <f t="shared" si="3"/>
        <v>36670</v>
      </c>
      <c r="M13" s="80">
        <f t="shared" si="3"/>
        <v>37256.720000000001</v>
      </c>
      <c r="N13" s="80">
        <f t="shared" si="3"/>
        <v>13505</v>
      </c>
      <c r="O13" s="118"/>
      <c r="P13" s="96">
        <f t="shared" si="4"/>
        <v>168128</v>
      </c>
      <c r="Q13" s="96">
        <f t="shared" si="4"/>
        <v>260530</v>
      </c>
      <c r="R13" s="96">
        <f t="shared" si="4"/>
        <v>84390</v>
      </c>
      <c r="S13" s="96"/>
      <c r="T13" s="96">
        <f t="shared" si="4"/>
        <v>93405</v>
      </c>
      <c r="U13" s="96">
        <f t="shared" si="4"/>
        <v>9030.6670000000013</v>
      </c>
    </row>
    <row r="14" spans="1:21" ht="12.75" x14ac:dyDescent="0.2">
      <c r="A14" s="49" t="s">
        <v>18</v>
      </c>
      <c r="B14" s="80">
        <f t="shared" si="1"/>
        <v>9109624</v>
      </c>
      <c r="C14" s="80">
        <f t="shared" si="1"/>
        <v>1650289.3759999999</v>
      </c>
      <c r="D14" s="80">
        <f t="shared" si="1"/>
        <v>9109.6239999999998</v>
      </c>
      <c r="E14" s="80">
        <f t="shared" si="1"/>
        <v>7436925.6239999998</v>
      </c>
      <c r="F14" s="126">
        <v>1.014</v>
      </c>
      <c r="G14" s="80">
        <f t="shared" si="2"/>
        <v>9237158.7360000014</v>
      </c>
      <c r="H14" s="80">
        <f t="shared" si="2"/>
        <v>7541042.5827360004</v>
      </c>
      <c r="I14" s="80">
        <f t="shared" si="2"/>
        <v>609175.95799999998</v>
      </c>
      <c r="K14" s="80">
        <f t="shared" si="3"/>
        <v>2245960.3339999998</v>
      </c>
      <c r="L14" s="80">
        <f t="shared" si="3"/>
        <v>35914</v>
      </c>
      <c r="M14" s="80">
        <f t="shared" si="3"/>
        <v>36416.796000000002</v>
      </c>
      <c r="N14" s="80">
        <f t="shared" si="3"/>
        <v>13505</v>
      </c>
      <c r="O14" s="118"/>
      <c r="P14" s="96">
        <f t="shared" si="4"/>
        <v>158694</v>
      </c>
      <c r="Q14" s="96">
        <f t="shared" si="4"/>
        <v>263099</v>
      </c>
      <c r="R14" s="96">
        <f t="shared" si="4"/>
        <v>85124</v>
      </c>
      <c r="S14" s="96"/>
      <c r="T14" s="96">
        <f t="shared" si="4"/>
        <v>94116</v>
      </c>
      <c r="U14" s="96">
        <f t="shared" si="4"/>
        <v>9109.6239999999998</v>
      </c>
    </row>
    <row r="15" spans="1:21" ht="12.75" x14ac:dyDescent="0.2">
      <c r="A15" s="49" t="s">
        <v>19</v>
      </c>
      <c r="B15" s="80">
        <f t="shared" si="1"/>
        <v>9473743</v>
      </c>
      <c r="C15" s="80">
        <f t="shared" si="1"/>
        <v>1715267.2570000002</v>
      </c>
      <c r="D15" s="80">
        <f t="shared" si="1"/>
        <v>9473.7429999999986</v>
      </c>
      <c r="E15" s="80">
        <f t="shared" si="1"/>
        <v>7737045.7429999998</v>
      </c>
      <c r="F15" s="126">
        <v>1.012</v>
      </c>
      <c r="G15" s="80">
        <f t="shared" si="2"/>
        <v>9587427.9160000011</v>
      </c>
      <c r="H15" s="80">
        <f t="shared" si="2"/>
        <v>7829890.2919160007</v>
      </c>
      <c r="I15" s="80">
        <f t="shared" si="2"/>
        <v>644358.74300000013</v>
      </c>
      <c r="K15" s="80">
        <f t="shared" si="3"/>
        <v>2345756</v>
      </c>
      <c r="L15" s="80">
        <f t="shared" si="3"/>
        <v>35300</v>
      </c>
      <c r="M15" s="80">
        <f t="shared" si="3"/>
        <v>35723.599999999999</v>
      </c>
      <c r="N15" s="80">
        <f t="shared" si="3"/>
        <v>13870</v>
      </c>
      <c r="O15" s="118"/>
      <c r="P15" s="96">
        <f t="shared" si="4"/>
        <v>175892</v>
      </c>
      <c r="Q15" s="96">
        <f t="shared" si="4"/>
        <v>273754</v>
      </c>
      <c r="R15" s="96">
        <f t="shared" si="4"/>
        <v>88522</v>
      </c>
      <c r="S15" s="96"/>
      <c r="T15" s="96">
        <f t="shared" si="4"/>
        <v>97717</v>
      </c>
      <c r="U15" s="96">
        <f t="shared" si="4"/>
        <v>9473.7429999999986</v>
      </c>
    </row>
    <row r="16" spans="1:21" ht="12.75" x14ac:dyDescent="0.2">
      <c r="A16" s="49" t="s">
        <v>20</v>
      </c>
      <c r="B16" s="80">
        <f t="shared" si="1"/>
        <v>9235688</v>
      </c>
      <c r="C16" s="80">
        <f t="shared" si="1"/>
        <v>1674082.2439999999</v>
      </c>
      <c r="D16" s="80">
        <f t="shared" si="1"/>
        <v>9235.6880000000001</v>
      </c>
      <c r="E16" s="80">
        <f t="shared" si="1"/>
        <v>7540329.7559999991</v>
      </c>
      <c r="F16" s="126">
        <v>1.0169999999999999</v>
      </c>
      <c r="G16" s="80">
        <f t="shared" si="2"/>
        <v>9392694.6959999986</v>
      </c>
      <c r="H16" s="80">
        <f t="shared" si="2"/>
        <v>7668515.3618519995</v>
      </c>
      <c r="I16" s="80">
        <f t="shared" si="2"/>
        <v>669560.68800000008</v>
      </c>
      <c r="K16" s="80">
        <f t="shared" si="3"/>
        <v>2329772.932</v>
      </c>
      <c r="L16" s="80">
        <f t="shared" si="3"/>
        <v>35146</v>
      </c>
      <c r="M16" s="80">
        <f t="shared" si="3"/>
        <v>35743.481999999996</v>
      </c>
      <c r="N16" s="80">
        <f t="shared" si="3"/>
        <v>13870</v>
      </c>
      <c r="O16" s="118"/>
      <c r="P16" s="96">
        <f t="shared" si="4"/>
        <v>212393</v>
      </c>
      <c r="Q16" s="96">
        <f t="shared" si="4"/>
        <v>267050</v>
      </c>
      <c r="R16" s="96">
        <f t="shared" si="4"/>
        <v>86309</v>
      </c>
      <c r="S16" s="96"/>
      <c r="T16" s="96">
        <f t="shared" si="4"/>
        <v>95573</v>
      </c>
      <c r="U16" s="96">
        <f t="shared" si="4"/>
        <v>9235.6880000000001</v>
      </c>
    </row>
    <row r="17" spans="1:21" ht="12.75" x14ac:dyDescent="0.2">
      <c r="A17" s="49" t="s">
        <v>21</v>
      </c>
      <c r="B17" s="80">
        <f t="shared" si="1"/>
        <v>0</v>
      </c>
      <c r="C17" s="80">
        <f t="shared" si="1"/>
        <v>0</v>
      </c>
      <c r="D17" s="80">
        <f t="shared" si="1"/>
        <v>0</v>
      </c>
      <c r="E17" s="80">
        <f t="shared" si="1"/>
        <v>0</v>
      </c>
      <c r="F17" s="126">
        <v>1.008</v>
      </c>
      <c r="G17" s="80">
        <f t="shared" si="2"/>
        <v>0</v>
      </c>
      <c r="H17" s="80">
        <f t="shared" si="2"/>
        <v>0</v>
      </c>
      <c r="I17" s="80">
        <f t="shared" si="2"/>
        <v>0</v>
      </c>
      <c r="K17" s="80">
        <f t="shared" si="3"/>
        <v>0</v>
      </c>
      <c r="L17" s="80">
        <f t="shared" si="3"/>
        <v>0</v>
      </c>
      <c r="M17" s="80">
        <f t="shared" si="3"/>
        <v>0</v>
      </c>
      <c r="N17" s="80">
        <f t="shared" si="3"/>
        <v>0</v>
      </c>
      <c r="O17" s="118"/>
      <c r="P17" s="96">
        <f t="shared" si="4"/>
        <v>0</v>
      </c>
      <c r="Q17" s="96">
        <f t="shared" si="4"/>
        <v>0</v>
      </c>
      <c r="R17" s="96">
        <f t="shared" si="4"/>
        <v>0</v>
      </c>
      <c r="S17" s="96"/>
      <c r="T17" s="96">
        <f t="shared" si="4"/>
        <v>0</v>
      </c>
      <c r="U17" s="96">
        <f t="shared" si="4"/>
        <v>0</v>
      </c>
    </row>
    <row r="18" spans="1:21" ht="12.75" x14ac:dyDescent="0.2">
      <c r="A18" s="49" t="s">
        <v>22</v>
      </c>
      <c r="B18" s="80">
        <f t="shared" si="1"/>
        <v>0</v>
      </c>
      <c r="C18" s="80">
        <f t="shared" si="1"/>
        <v>0</v>
      </c>
      <c r="D18" s="80">
        <f t="shared" si="1"/>
        <v>0</v>
      </c>
      <c r="E18" s="80">
        <f t="shared" si="1"/>
        <v>0</v>
      </c>
      <c r="F18" s="126">
        <v>1.0069999999999999</v>
      </c>
      <c r="G18" s="80">
        <f t="shared" si="2"/>
        <v>0</v>
      </c>
      <c r="H18" s="80">
        <f t="shared" si="2"/>
        <v>0</v>
      </c>
      <c r="I18" s="80">
        <f t="shared" si="2"/>
        <v>0</v>
      </c>
      <c r="K18" s="80">
        <f t="shared" si="3"/>
        <v>0</v>
      </c>
      <c r="L18" s="80">
        <f t="shared" si="3"/>
        <v>0</v>
      </c>
      <c r="M18" s="80">
        <f t="shared" si="3"/>
        <v>0</v>
      </c>
      <c r="N18" s="80">
        <f t="shared" si="3"/>
        <v>0</v>
      </c>
      <c r="O18" s="118"/>
      <c r="P18" s="96">
        <f t="shared" si="4"/>
        <v>0</v>
      </c>
      <c r="Q18" s="96">
        <f t="shared" si="4"/>
        <v>0</v>
      </c>
      <c r="R18" s="96">
        <f t="shared" si="4"/>
        <v>0</v>
      </c>
      <c r="S18" s="96"/>
      <c r="T18" s="96">
        <f t="shared" si="4"/>
        <v>0</v>
      </c>
      <c r="U18" s="96">
        <f t="shared" si="4"/>
        <v>0</v>
      </c>
    </row>
    <row r="19" spans="1:21" ht="12.75" x14ac:dyDescent="0.2">
      <c r="A19" s="49" t="s">
        <v>23</v>
      </c>
      <c r="B19" s="80">
        <f t="shared" si="1"/>
        <v>0</v>
      </c>
      <c r="C19" s="80">
        <f t="shared" si="1"/>
        <v>0</v>
      </c>
      <c r="D19" s="80">
        <f t="shared" si="1"/>
        <v>0</v>
      </c>
      <c r="E19" s="80">
        <f t="shared" si="1"/>
        <v>0</v>
      </c>
      <c r="F19" s="126">
        <v>1.0029999999999999</v>
      </c>
      <c r="G19" s="80">
        <f t="shared" si="2"/>
        <v>0</v>
      </c>
      <c r="H19" s="80">
        <f t="shared" si="2"/>
        <v>0</v>
      </c>
      <c r="I19" s="80">
        <f t="shared" si="2"/>
        <v>0</v>
      </c>
      <c r="K19" s="80">
        <f t="shared" ref="K19:M22" si="5">K41+K64+K89+K121+K146+K166+K188+K214+K234+K254+K275+K335+K295+K315</f>
        <v>0</v>
      </c>
      <c r="L19" s="80">
        <f t="shared" si="5"/>
        <v>0</v>
      </c>
      <c r="M19" s="80">
        <f t="shared" si="5"/>
        <v>0</v>
      </c>
      <c r="N19" s="80">
        <f>N41+N64+N89+N121+N146+N166+N188+N214+N234+N254</f>
        <v>0</v>
      </c>
      <c r="O19" s="118"/>
      <c r="P19" s="96">
        <f t="shared" si="4"/>
        <v>0</v>
      </c>
      <c r="Q19" s="96">
        <f t="shared" si="4"/>
        <v>0</v>
      </c>
      <c r="R19" s="96">
        <f t="shared" si="4"/>
        <v>0</v>
      </c>
      <c r="S19" s="96"/>
      <c r="T19" s="96">
        <f t="shared" si="4"/>
        <v>0</v>
      </c>
      <c r="U19" s="96">
        <f t="shared" si="4"/>
        <v>0</v>
      </c>
    </row>
    <row r="20" spans="1:21" ht="12.75" x14ac:dyDescent="0.2">
      <c r="A20" s="49" t="s">
        <v>24</v>
      </c>
      <c r="B20" s="80">
        <f t="shared" si="1"/>
        <v>0</v>
      </c>
      <c r="C20" s="80">
        <f t="shared" si="1"/>
        <v>0</v>
      </c>
      <c r="D20" s="80">
        <f t="shared" si="1"/>
        <v>0</v>
      </c>
      <c r="E20" s="80">
        <f t="shared" si="1"/>
        <v>0</v>
      </c>
      <c r="F20" s="126">
        <v>1.0029999999999999</v>
      </c>
      <c r="G20" s="80">
        <f t="shared" si="2"/>
        <v>0</v>
      </c>
      <c r="H20" s="80">
        <f t="shared" si="2"/>
        <v>0</v>
      </c>
      <c r="I20" s="80">
        <f t="shared" si="2"/>
        <v>0</v>
      </c>
      <c r="K20" s="80">
        <f t="shared" si="5"/>
        <v>0</v>
      </c>
      <c r="L20" s="80">
        <f t="shared" si="5"/>
        <v>0</v>
      </c>
      <c r="M20" s="80">
        <f t="shared" si="5"/>
        <v>0</v>
      </c>
      <c r="N20" s="80">
        <f>N42+N65+N90+N122+N147+N167+N189+N215+N235+N255</f>
        <v>0</v>
      </c>
      <c r="O20" s="118"/>
      <c r="P20" s="96">
        <f t="shared" si="4"/>
        <v>0</v>
      </c>
      <c r="Q20" s="96">
        <f t="shared" si="4"/>
        <v>0</v>
      </c>
      <c r="R20" s="96">
        <f t="shared" si="4"/>
        <v>0</v>
      </c>
      <c r="S20" s="96"/>
      <c r="T20" s="96">
        <f t="shared" si="4"/>
        <v>0</v>
      </c>
      <c r="U20" s="96">
        <f t="shared" si="4"/>
        <v>0</v>
      </c>
    </row>
    <row r="21" spans="1:21" ht="13.5" thickBot="1" x14ac:dyDescent="0.25">
      <c r="A21" s="50" t="s">
        <v>25</v>
      </c>
      <c r="B21" s="139">
        <f t="shared" si="1"/>
        <v>0</v>
      </c>
      <c r="C21" s="139">
        <f t="shared" si="1"/>
        <v>0</v>
      </c>
      <c r="D21" s="139">
        <f t="shared" si="1"/>
        <v>0</v>
      </c>
      <c r="E21" s="139">
        <f t="shared" si="1"/>
        <v>0</v>
      </c>
      <c r="F21" s="140">
        <v>1</v>
      </c>
      <c r="G21" s="139">
        <f t="shared" si="2"/>
        <v>0</v>
      </c>
      <c r="H21" s="139">
        <f t="shared" si="2"/>
        <v>0</v>
      </c>
      <c r="I21" s="139">
        <f t="shared" si="2"/>
        <v>0</v>
      </c>
      <c r="K21" s="139">
        <f t="shared" si="5"/>
        <v>0</v>
      </c>
      <c r="L21" s="139">
        <f t="shared" si="5"/>
        <v>0</v>
      </c>
      <c r="M21" s="139">
        <f t="shared" si="5"/>
        <v>0</v>
      </c>
      <c r="N21" s="139">
        <f>N43+N66+N91+N123+N148+N168+N190+N216+N236+N256</f>
        <v>0</v>
      </c>
      <c r="O21" s="118"/>
      <c r="P21" s="135">
        <f t="shared" si="4"/>
        <v>0</v>
      </c>
      <c r="Q21" s="135">
        <f t="shared" si="4"/>
        <v>0</v>
      </c>
      <c r="R21" s="135">
        <f t="shared" si="4"/>
        <v>0</v>
      </c>
      <c r="S21" s="135"/>
      <c r="T21" s="135">
        <f t="shared" si="4"/>
        <v>0</v>
      </c>
      <c r="U21" s="135">
        <f t="shared" si="4"/>
        <v>0</v>
      </c>
    </row>
    <row r="22" spans="1:21" ht="12" thickBot="1" x14ac:dyDescent="0.25">
      <c r="A22" s="81" t="s">
        <v>26</v>
      </c>
      <c r="B22" s="141">
        <f t="shared" si="1"/>
        <v>59537625</v>
      </c>
      <c r="C22" s="141">
        <f t="shared" si="1"/>
        <v>10836038.877</v>
      </c>
      <c r="D22" s="141">
        <f t="shared" si="1"/>
        <v>59537.625</v>
      </c>
      <c r="E22" s="141">
        <f t="shared" si="1"/>
        <v>48671210.123000011</v>
      </c>
      <c r="F22" s="51">
        <v>0</v>
      </c>
      <c r="G22" s="141">
        <f t="shared" si="2"/>
        <v>60709932.279999994</v>
      </c>
      <c r="H22" s="141">
        <f t="shared" si="2"/>
        <v>49630232.928504005</v>
      </c>
      <c r="I22" s="141">
        <f t="shared" si="2"/>
        <v>4107832.9589999998</v>
      </c>
      <c r="J22" s="82"/>
      <c r="K22" s="141">
        <f t="shared" si="5"/>
        <v>14720759.835999999</v>
      </c>
      <c r="L22" s="141">
        <f t="shared" si="5"/>
        <v>253488</v>
      </c>
      <c r="M22" s="141">
        <f t="shared" si="5"/>
        <v>258692.00599999999</v>
      </c>
      <c r="N22" s="141">
        <f>N44+N67+N92+N124+N149+N169+N191+N217+N237+N257</f>
        <v>223112</v>
      </c>
      <c r="O22" s="119"/>
      <c r="P22" s="136">
        <f t="shared" si="4"/>
        <v>1142153</v>
      </c>
      <c r="Q22" s="137">
        <f t="shared" si="4"/>
        <v>1724871</v>
      </c>
      <c r="R22" s="137">
        <f t="shared" si="4"/>
        <v>556855</v>
      </c>
      <c r="S22" s="137"/>
      <c r="T22" s="137">
        <f t="shared" si="4"/>
        <v>630383</v>
      </c>
      <c r="U22" s="138">
        <f t="shared" si="4"/>
        <v>59537.625</v>
      </c>
    </row>
    <row r="23" spans="1:21" x14ac:dyDescent="0.2">
      <c r="A23" s="68"/>
      <c r="B23" s="83"/>
      <c r="C23" s="75"/>
      <c r="D23" s="75"/>
      <c r="E23" s="75"/>
      <c r="F23" s="77"/>
      <c r="G23" s="75"/>
      <c r="H23" s="75"/>
      <c r="K23" s="112"/>
      <c r="O23" s="118"/>
    </row>
    <row r="24" spans="1:21" x14ac:dyDescent="0.2">
      <c r="A24" s="68"/>
      <c r="B24" s="83"/>
      <c r="C24" s="75"/>
      <c r="D24" s="75"/>
      <c r="E24" s="75"/>
      <c r="F24" s="77"/>
      <c r="G24" s="75"/>
      <c r="H24" s="75"/>
    </row>
    <row r="27" spans="1:21" ht="12" thickBot="1" x14ac:dyDescent="0.25"/>
    <row r="28" spans="1:21" x14ac:dyDescent="0.2">
      <c r="A28" s="63" t="s">
        <v>27</v>
      </c>
      <c r="B28" s="64" t="s">
        <v>56</v>
      </c>
      <c r="C28" s="64"/>
      <c r="D28" s="64"/>
      <c r="E28" s="84"/>
      <c r="G28" s="62"/>
      <c r="K28" s="85"/>
      <c r="N28" s="60">
        <v>1</v>
      </c>
    </row>
    <row r="29" spans="1:21" ht="12" thickBot="1" x14ac:dyDescent="0.25">
      <c r="A29" s="86" t="s">
        <v>1</v>
      </c>
      <c r="B29" s="72" t="s">
        <v>61</v>
      </c>
      <c r="C29" s="87"/>
      <c r="D29" s="87"/>
      <c r="E29" s="74"/>
      <c r="F29" s="77"/>
      <c r="G29" s="78"/>
      <c r="H29" s="79"/>
    </row>
    <row r="30" spans="1:21" ht="12" thickBot="1" x14ac:dyDescent="0.25">
      <c r="A30" s="88" t="s">
        <v>3</v>
      </c>
      <c r="B30" s="39" t="s">
        <v>4</v>
      </c>
      <c r="C30" s="77" t="s">
        <v>5</v>
      </c>
      <c r="D30" s="39" t="s">
        <v>90</v>
      </c>
      <c r="E30" s="39" t="s">
        <v>6</v>
      </c>
      <c r="F30" s="43" t="s">
        <v>7</v>
      </c>
      <c r="G30" s="39" t="s">
        <v>68</v>
      </c>
      <c r="H30" s="39" t="s">
        <v>8</v>
      </c>
      <c r="I30" s="43" t="s">
        <v>65</v>
      </c>
      <c r="K30" s="43" t="s">
        <v>71</v>
      </c>
      <c r="L30" s="43" t="s">
        <v>73</v>
      </c>
      <c r="M30" s="89" t="s">
        <v>75</v>
      </c>
      <c r="N30" s="43" t="s">
        <v>76</v>
      </c>
      <c r="P30" s="142" t="s">
        <v>92</v>
      </c>
      <c r="Q30" s="143"/>
      <c r="R30" s="143"/>
      <c r="S30" s="143"/>
      <c r="T30" s="143"/>
      <c r="U30" s="144"/>
    </row>
    <row r="31" spans="1:21" ht="12" thickBot="1" x14ac:dyDescent="0.25">
      <c r="A31" s="40"/>
      <c r="B31" s="41" t="s">
        <v>9</v>
      </c>
      <c r="C31" s="48" t="s">
        <v>10</v>
      </c>
      <c r="D31" s="41" t="s">
        <v>91</v>
      </c>
      <c r="E31" s="41" t="s">
        <v>67</v>
      </c>
      <c r="F31" s="44" t="s">
        <v>12</v>
      </c>
      <c r="G31" s="41" t="s">
        <v>69</v>
      </c>
      <c r="H31" s="41" t="s">
        <v>70</v>
      </c>
      <c r="I31" s="44" t="s">
        <v>66</v>
      </c>
      <c r="K31" s="44" t="s">
        <v>72</v>
      </c>
      <c r="L31" s="44" t="s">
        <v>74</v>
      </c>
      <c r="M31" s="90" t="s">
        <v>69</v>
      </c>
      <c r="N31" s="44" t="s">
        <v>77</v>
      </c>
      <c r="P31" s="121" t="s">
        <v>93</v>
      </c>
      <c r="Q31" s="122" t="s">
        <v>94</v>
      </c>
      <c r="R31" s="122" t="s">
        <v>95</v>
      </c>
      <c r="S31" s="130" t="s">
        <v>106</v>
      </c>
      <c r="T31" s="130" t="s">
        <v>96</v>
      </c>
      <c r="U31" s="134" t="s">
        <v>97</v>
      </c>
    </row>
    <row r="32" spans="1:21" ht="12.75" x14ac:dyDescent="0.2">
      <c r="A32" s="91" t="s">
        <v>14</v>
      </c>
      <c r="B32" s="92">
        <v>673750</v>
      </c>
      <c r="C32" s="93">
        <f>75864+4043+47163-674</f>
        <v>126396</v>
      </c>
      <c r="D32" s="93">
        <f>B32*0.1%</f>
        <v>673.75</v>
      </c>
      <c r="E32" s="93">
        <f t="shared" ref="E32:E43" si="6">B32-C32</f>
        <v>547354</v>
      </c>
      <c r="F32" s="125">
        <v>1.036</v>
      </c>
      <c r="G32" s="94">
        <f t="shared" ref="G32:G43" si="7">B32*F32</f>
        <v>698005</v>
      </c>
      <c r="H32" s="95">
        <f t="shared" ref="H32:H43" si="8">E32*F32</f>
        <v>567058.74400000006</v>
      </c>
      <c r="I32" s="96">
        <f>P32+Q32+R32+T32+U32</f>
        <v>39549.75</v>
      </c>
      <c r="K32" s="97">
        <f>C32+I32</f>
        <v>165945.75</v>
      </c>
      <c r="L32" s="96">
        <v>0</v>
      </c>
      <c r="M32" s="96">
        <f>L32*F32</f>
        <v>0</v>
      </c>
      <c r="N32" s="96">
        <v>0</v>
      </c>
      <c r="P32" s="96">
        <v>10376</v>
      </c>
      <c r="Q32" s="96">
        <v>16170</v>
      </c>
      <c r="R32" s="96">
        <v>6266</v>
      </c>
      <c r="S32" s="131"/>
      <c r="T32" s="131">
        <v>6064</v>
      </c>
      <c r="U32" s="97">
        <f>D32</f>
        <v>673.75</v>
      </c>
    </row>
    <row r="33" spans="1:22" ht="12.75" x14ac:dyDescent="0.2">
      <c r="A33" s="91" t="s">
        <v>15</v>
      </c>
      <c r="B33" s="93">
        <v>673750</v>
      </c>
      <c r="C33" s="93">
        <f>75864+4043+47163-674</f>
        <v>126396</v>
      </c>
      <c r="D33" s="93">
        <f t="shared" ref="D33:D43" si="9">B33*0.1%</f>
        <v>673.75</v>
      </c>
      <c r="E33" s="93">
        <f t="shared" si="6"/>
        <v>547354</v>
      </c>
      <c r="F33" s="126">
        <v>1.026</v>
      </c>
      <c r="G33" s="94">
        <f t="shared" si="7"/>
        <v>691267.5</v>
      </c>
      <c r="H33" s="95">
        <f t="shared" si="8"/>
        <v>561585.20400000003</v>
      </c>
      <c r="I33" s="96">
        <f t="shared" ref="I33:I43" si="10">P33+Q33+R33+T33+U33</f>
        <v>39549.75</v>
      </c>
      <c r="K33" s="97">
        <f t="shared" ref="K33:K43" si="11">C33+I33</f>
        <v>165945.75</v>
      </c>
      <c r="L33" s="98">
        <v>0</v>
      </c>
      <c r="M33" s="96">
        <f t="shared" ref="M33:M43" si="12">L33*F33</f>
        <v>0</v>
      </c>
      <c r="N33" s="98">
        <v>0</v>
      </c>
      <c r="P33" s="98">
        <v>10376</v>
      </c>
      <c r="Q33" s="98">
        <v>16170</v>
      </c>
      <c r="R33" s="98">
        <v>6266</v>
      </c>
      <c r="S33" s="132"/>
      <c r="T33" s="132">
        <v>6064</v>
      </c>
      <c r="U33" s="97">
        <f t="shared" ref="U33:U43" si="13">D33</f>
        <v>673.75</v>
      </c>
    </row>
    <row r="34" spans="1:22" ht="12.75" x14ac:dyDescent="0.2">
      <c r="A34" s="91" t="s">
        <v>16</v>
      </c>
      <c r="B34" s="93">
        <v>673750</v>
      </c>
      <c r="C34" s="93">
        <f>75864+4043+47163-674</f>
        <v>126396</v>
      </c>
      <c r="D34" s="93">
        <f t="shared" si="9"/>
        <v>673.75</v>
      </c>
      <c r="E34" s="93">
        <f t="shared" si="6"/>
        <v>547354</v>
      </c>
      <c r="F34" s="126">
        <v>1.022</v>
      </c>
      <c r="G34" s="94">
        <f t="shared" si="7"/>
        <v>688572.5</v>
      </c>
      <c r="H34" s="95">
        <f t="shared" si="8"/>
        <v>559395.78800000006</v>
      </c>
      <c r="I34" s="96">
        <f t="shared" si="10"/>
        <v>39549.75</v>
      </c>
      <c r="K34" s="97">
        <f t="shared" si="11"/>
        <v>165945.75</v>
      </c>
      <c r="L34" s="98">
        <v>0</v>
      </c>
      <c r="M34" s="96">
        <f t="shared" si="12"/>
        <v>0</v>
      </c>
      <c r="N34" s="98">
        <v>0</v>
      </c>
      <c r="P34" s="98">
        <v>10376</v>
      </c>
      <c r="Q34" s="98">
        <v>16170</v>
      </c>
      <c r="R34" s="98">
        <v>6266</v>
      </c>
      <c r="S34" s="132"/>
      <c r="T34" s="132">
        <v>6064</v>
      </c>
      <c r="U34" s="97">
        <f t="shared" si="13"/>
        <v>673.75</v>
      </c>
    </row>
    <row r="35" spans="1:22" ht="12.75" x14ac:dyDescent="0.2">
      <c r="A35" s="91" t="s">
        <v>17</v>
      </c>
      <c r="B35" s="99">
        <v>673750</v>
      </c>
      <c r="C35" s="93">
        <f>75864+4043+47163-674</f>
        <v>126396</v>
      </c>
      <c r="D35" s="93">
        <f t="shared" si="9"/>
        <v>673.75</v>
      </c>
      <c r="E35" s="93">
        <f t="shared" si="6"/>
        <v>547354</v>
      </c>
      <c r="F35" s="126">
        <v>1.016</v>
      </c>
      <c r="G35" s="94">
        <f t="shared" si="7"/>
        <v>684530</v>
      </c>
      <c r="H35" s="95">
        <f t="shared" si="8"/>
        <v>556111.66399999999</v>
      </c>
      <c r="I35" s="96">
        <f t="shared" si="10"/>
        <v>40088.75</v>
      </c>
      <c r="K35" s="97">
        <f t="shared" si="11"/>
        <v>166484.75</v>
      </c>
      <c r="L35" s="98">
        <v>0</v>
      </c>
      <c r="M35" s="96">
        <f t="shared" si="12"/>
        <v>0</v>
      </c>
      <c r="N35" s="98">
        <v>0</v>
      </c>
      <c r="P35" s="98">
        <v>10915</v>
      </c>
      <c r="Q35" s="98">
        <v>16170</v>
      </c>
      <c r="R35" s="98">
        <v>6266</v>
      </c>
      <c r="S35" s="132"/>
      <c r="T35" s="132">
        <v>6064</v>
      </c>
      <c r="U35" s="97">
        <f t="shared" si="13"/>
        <v>673.75</v>
      </c>
    </row>
    <row r="36" spans="1:22" ht="12.75" x14ac:dyDescent="0.2">
      <c r="A36" s="91" t="s">
        <v>18</v>
      </c>
      <c r="B36" s="99">
        <v>673750</v>
      </c>
      <c r="C36" s="93">
        <f>75864+4043+47163-D36</f>
        <v>126396.25</v>
      </c>
      <c r="D36" s="93">
        <f t="shared" si="9"/>
        <v>673.75</v>
      </c>
      <c r="E36" s="93">
        <f t="shared" si="6"/>
        <v>547353.75</v>
      </c>
      <c r="F36" s="126">
        <v>1.014</v>
      </c>
      <c r="G36" s="94">
        <f t="shared" si="7"/>
        <v>683182.5</v>
      </c>
      <c r="H36" s="95">
        <f t="shared" si="8"/>
        <v>555016.70250000001</v>
      </c>
      <c r="I36" s="96">
        <f t="shared" si="10"/>
        <v>40088.75</v>
      </c>
      <c r="K36" s="97">
        <f t="shared" si="11"/>
        <v>166485</v>
      </c>
      <c r="L36" s="98">
        <v>0</v>
      </c>
      <c r="M36" s="96">
        <f t="shared" si="12"/>
        <v>0</v>
      </c>
      <c r="N36" s="98">
        <v>0</v>
      </c>
      <c r="P36" s="98">
        <v>10915</v>
      </c>
      <c r="Q36" s="98">
        <v>16170</v>
      </c>
      <c r="R36" s="98">
        <v>6266</v>
      </c>
      <c r="S36" s="132"/>
      <c r="T36" s="132">
        <v>6064</v>
      </c>
      <c r="U36" s="97">
        <f t="shared" si="13"/>
        <v>673.75</v>
      </c>
    </row>
    <row r="37" spans="1:22" ht="12.75" x14ac:dyDescent="0.2">
      <c r="A37" s="91" t="s">
        <v>19</v>
      </c>
      <c r="B37" s="93">
        <v>710133</v>
      </c>
      <c r="C37" s="93">
        <f>79961+4261+49709-D37</f>
        <v>133220.867</v>
      </c>
      <c r="D37" s="93">
        <f t="shared" si="9"/>
        <v>710.13300000000004</v>
      </c>
      <c r="E37" s="93">
        <f t="shared" si="6"/>
        <v>576912.13300000003</v>
      </c>
      <c r="F37" s="126">
        <v>1.012</v>
      </c>
      <c r="G37" s="94">
        <f t="shared" si="7"/>
        <v>718654.59600000002</v>
      </c>
      <c r="H37" s="95">
        <f t="shared" si="8"/>
        <v>583835.07859600009</v>
      </c>
      <c r="I37" s="96">
        <f t="shared" si="10"/>
        <v>42252.133000000002</v>
      </c>
      <c r="K37" s="97">
        <f t="shared" si="11"/>
        <v>175473</v>
      </c>
      <c r="L37" s="98">
        <v>0</v>
      </c>
      <c r="M37" s="96">
        <f t="shared" si="12"/>
        <v>0</v>
      </c>
      <c r="N37" s="98">
        <v>0</v>
      </c>
      <c r="P37" s="98">
        <v>11504</v>
      </c>
      <c r="Q37" s="98">
        <v>17043</v>
      </c>
      <c r="R37" s="98">
        <v>6604</v>
      </c>
      <c r="S37" s="132"/>
      <c r="T37" s="132">
        <v>6391</v>
      </c>
      <c r="U37" s="97">
        <f t="shared" si="13"/>
        <v>710.13300000000004</v>
      </c>
    </row>
    <row r="38" spans="1:22" ht="12.75" x14ac:dyDescent="0.2">
      <c r="A38" s="91" t="s">
        <v>20</v>
      </c>
      <c r="B38" s="93">
        <v>691941</v>
      </c>
      <c r="C38" s="93">
        <f>77913+4152+48436-D38</f>
        <v>129809.05899999999</v>
      </c>
      <c r="D38" s="93">
        <f t="shared" si="9"/>
        <v>691.94100000000003</v>
      </c>
      <c r="E38" s="93">
        <f t="shared" si="6"/>
        <v>562131.94099999999</v>
      </c>
      <c r="F38" s="126">
        <v>1.0169999999999999</v>
      </c>
      <c r="G38" s="94">
        <f t="shared" si="7"/>
        <v>703703.99699999997</v>
      </c>
      <c r="H38" s="95">
        <f t="shared" si="8"/>
        <v>571688.18399699999</v>
      </c>
      <c r="I38" s="96">
        <f t="shared" si="10"/>
        <v>43799.940999999999</v>
      </c>
      <c r="K38" s="97">
        <f t="shared" si="11"/>
        <v>173609</v>
      </c>
      <c r="L38" s="98">
        <v>0</v>
      </c>
      <c r="M38" s="96">
        <f t="shared" si="12"/>
        <v>0</v>
      </c>
      <c r="N38" s="98">
        <v>0</v>
      </c>
      <c r="P38" s="98">
        <v>13839</v>
      </c>
      <c r="Q38" s="98">
        <v>16607</v>
      </c>
      <c r="R38" s="98">
        <v>6435</v>
      </c>
      <c r="S38" s="132"/>
      <c r="T38" s="132">
        <v>6227</v>
      </c>
      <c r="U38" s="97">
        <f t="shared" si="13"/>
        <v>691.94100000000003</v>
      </c>
    </row>
    <row r="39" spans="1:22" ht="12.75" x14ac:dyDescent="0.2">
      <c r="A39" s="91" t="s">
        <v>21</v>
      </c>
      <c r="B39" s="93"/>
      <c r="C39" s="93"/>
      <c r="D39" s="93">
        <f t="shared" si="9"/>
        <v>0</v>
      </c>
      <c r="E39" s="93">
        <f t="shared" si="6"/>
        <v>0</v>
      </c>
      <c r="F39" s="126">
        <v>1.008</v>
      </c>
      <c r="G39" s="94">
        <f t="shared" si="7"/>
        <v>0</v>
      </c>
      <c r="H39" s="95">
        <f t="shared" si="8"/>
        <v>0</v>
      </c>
      <c r="I39" s="96">
        <f t="shared" si="10"/>
        <v>0</v>
      </c>
      <c r="K39" s="97">
        <f t="shared" si="11"/>
        <v>0</v>
      </c>
      <c r="L39" s="98">
        <v>0</v>
      </c>
      <c r="M39" s="96">
        <f t="shared" si="12"/>
        <v>0</v>
      </c>
      <c r="N39" s="98">
        <v>0</v>
      </c>
      <c r="P39" s="98"/>
      <c r="Q39" s="98"/>
      <c r="R39" s="98"/>
      <c r="S39" s="132"/>
      <c r="T39" s="132"/>
      <c r="U39" s="97">
        <f t="shared" si="13"/>
        <v>0</v>
      </c>
      <c r="V39" s="117"/>
    </row>
    <row r="40" spans="1:22" ht="12.75" x14ac:dyDescent="0.2">
      <c r="A40" s="91" t="s">
        <v>22</v>
      </c>
      <c r="B40" s="93"/>
      <c r="C40" s="93"/>
      <c r="D40" s="93">
        <f t="shared" si="9"/>
        <v>0</v>
      </c>
      <c r="E40" s="93">
        <f t="shared" si="6"/>
        <v>0</v>
      </c>
      <c r="F40" s="126">
        <v>1.0069999999999999</v>
      </c>
      <c r="G40" s="94">
        <f t="shared" si="7"/>
        <v>0</v>
      </c>
      <c r="H40" s="95">
        <f t="shared" si="8"/>
        <v>0</v>
      </c>
      <c r="I40" s="96">
        <f t="shared" si="10"/>
        <v>0</v>
      </c>
      <c r="K40" s="97">
        <f t="shared" si="11"/>
        <v>0</v>
      </c>
      <c r="L40" s="98">
        <v>0</v>
      </c>
      <c r="M40" s="96">
        <f t="shared" si="12"/>
        <v>0</v>
      </c>
      <c r="N40" s="98">
        <v>0</v>
      </c>
      <c r="P40" s="98"/>
      <c r="Q40" s="98"/>
      <c r="R40" s="98"/>
      <c r="S40" s="132"/>
      <c r="T40" s="132"/>
      <c r="U40" s="97">
        <f t="shared" si="13"/>
        <v>0</v>
      </c>
      <c r="V40" s="117"/>
    </row>
    <row r="41" spans="1:22" ht="12.75" x14ac:dyDescent="0.2">
      <c r="A41" s="91" t="s">
        <v>23</v>
      </c>
      <c r="B41" s="93"/>
      <c r="C41" s="93"/>
      <c r="D41" s="93">
        <f t="shared" si="9"/>
        <v>0</v>
      </c>
      <c r="E41" s="93">
        <f t="shared" si="6"/>
        <v>0</v>
      </c>
      <c r="F41" s="126">
        <v>1.0029999999999999</v>
      </c>
      <c r="G41" s="94">
        <f t="shared" si="7"/>
        <v>0</v>
      </c>
      <c r="H41" s="95">
        <f t="shared" si="8"/>
        <v>0</v>
      </c>
      <c r="I41" s="96">
        <f t="shared" si="10"/>
        <v>0</v>
      </c>
      <c r="K41" s="97">
        <f t="shared" si="11"/>
        <v>0</v>
      </c>
      <c r="L41" s="98">
        <v>0</v>
      </c>
      <c r="M41" s="96">
        <f t="shared" si="12"/>
        <v>0</v>
      </c>
      <c r="N41" s="98">
        <v>0</v>
      </c>
      <c r="P41" s="98"/>
      <c r="Q41" s="98"/>
      <c r="R41" s="98"/>
      <c r="S41" s="132"/>
      <c r="T41" s="132"/>
      <c r="U41" s="97">
        <f t="shared" si="13"/>
        <v>0</v>
      </c>
      <c r="V41" s="117"/>
    </row>
    <row r="42" spans="1:22" ht="12.75" x14ac:dyDescent="0.2">
      <c r="A42" s="91" t="s">
        <v>24</v>
      </c>
      <c r="B42" s="93"/>
      <c r="C42" s="93"/>
      <c r="D42" s="93">
        <f t="shared" si="9"/>
        <v>0</v>
      </c>
      <c r="E42" s="93">
        <f t="shared" si="6"/>
        <v>0</v>
      </c>
      <c r="F42" s="126">
        <v>1.0029999999999999</v>
      </c>
      <c r="G42" s="94">
        <f t="shared" si="7"/>
        <v>0</v>
      </c>
      <c r="H42" s="95">
        <f t="shared" si="8"/>
        <v>0</v>
      </c>
      <c r="I42" s="96">
        <f t="shared" si="10"/>
        <v>0</v>
      </c>
      <c r="K42" s="97">
        <f t="shared" si="11"/>
        <v>0</v>
      </c>
      <c r="L42" s="98">
        <v>0</v>
      </c>
      <c r="M42" s="96">
        <f t="shared" si="12"/>
        <v>0</v>
      </c>
      <c r="N42" s="98">
        <v>0</v>
      </c>
      <c r="P42" s="98"/>
      <c r="Q42" s="98"/>
      <c r="R42" s="98"/>
      <c r="S42" s="132"/>
      <c r="T42" s="132"/>
      <c r="U42" s="97">
        <f t="shared" si="13"/>
        <v>0</v>
      </c>
      <c r="V42" s="117"/>
    </row>
    <row r="43" spans="1:22" ht="13.5" thickBot="1" x14ac:dyDescent="0.25">
      <c r="A43" s="100" t="s">
        <v>25</v>
      </c>
      <c r="B43" s="93"/>
      <c r="C43" s="93"/>
      <c r="D43" s="93">
        <f t="shared" si="9"/>
        <v>0</v>
      </c>
      <c r="E43" s="93">
        <f t="shared" si="6"/>
        <v>0</v>
      </c>
      <c r="F43" s="127">
        <v>1</v>
      </c>
      <c r="G43" s="94">
        <f t="shared" si="7"/>
        <v>0</v>
      </c>
      <c r="H43" s="95">
        <f t="shared" si="8"/>
        <v>0</v>
      </c>
      <c r="I43" s="96">
        <f t="shared" si="10"/>
        <v>0</v>
      </c>
      <c r="K43" s="97">
        <f t="shared" si="11"/>
        <v>0</v>
      </c>
      <c r="L43" s="101">
        <v>0</v>
      </c>
      <c r="M43" s="96">
        <f t="shared" si="12"/>
        <v>0</v>
      </c>
      <c r="N43" s="98">
        <v>0</v>
      </c>
      <c r="P43" s="101"/>
      <c r="Q43" s="101"/>
      <c r="R43" s="101"/>
      <c r="S43" s="133"/>
      <c r="T43" s="133"/>
      <c r="U43" s="97">
        <f t="shared" si="13"/>
        <v>0</v>
      </c>
      <c r="V43" s="117"/>
    </row>
    <row r="44" spans="1:22" ht="12" thickBot="1" x14ac:dyDescent="0.25">
      <c r="A44" s="81" t="s">
        <v>26</v>
      </c>
      <c r="B44" s="102">
        <f>SUM(B32:B43)</f>
        <v>4770824</v>
      </c>
      <c r="C44" s="103">
        <f>SUM(C32:C43)</f>
        <v>895010.17599999998</v>
      </c>
      <c r="D44" s="102">
        <f>SUM(D32:D43)</f>
        <v>4770.8239999999996</v>
      </c>
      <c r="E44" s="102">
        <f>SUM(E32:E43)</f>
        <v>3875813.824</v>
      </c>
      <c r="F44" s="51"/>
      <c r="G44" s="102">
        <f t="shared" ref="G44:N44" si="14">SUM(G32:G43)</f>
        <v>4867916.0930000003</v>
      </c>
      <c r="H44" s="104">
        <f t="shared" si="14"/>
        <v>3954691.3650930002</v>
      </c>
      <c r="I44" s="105">
        <f t="shared" si="14"/>
        <v>284878.82400000002</v>
      </c>
      <c r="J44" s="105">
        <f t="shared" si="14"/>
        <v>0</v>
      </c>
      <c r="K44" s="105">
        <f t="shared" si="14"/>
        <v>1179889</v>
      </c>
      <c r="L44" s="105">
        <f t="shared" si="14"/>
        <v>0</v>
      </c>
      <c r="M44" s="105">
        <f t="shared" si="14"/>
        <v>0</v>
      </c>
      <c r="N44" s="105">
        <f t="shared" si="14"/>
        <v>0</v>
      </c>
      <c r="P44" s="120">
        <f>SUM(P32:P43)</f>
        <v>78301</v>
      </c>
      <c r="Q44" s="120">
        <f>SUM(Q32:Q43)</f>
        <v>114500</v>
      </c>
      <c r="R44" s="120">
        <f>SUM(R32:R43)</f>
        <v>44369</v>
      </c>
      <c r="S44" s="120"/>
      <c r="T44" s="120">
        <f>SUM(T32:T43)</f>
        <v>42938</v>
      </c>
      <c r="U44" s="120">
        <f>SUM(U32:U43)</f>
        <v>4770.8239999999996</v>
      </c>
      <c r="V44" s="117"/>
    </row>
    <row r="45" spans="1:22" x14ac:dyDescent="0.2">
      <c r="A45" s="68"/>
      <c r="B45" s="75"/>
      <c r="C45" s="75"/>
      <c r="D45" s="75"/>
      <c r="E45" s="75"/>
      <c r="F45" s="77"/>
      <c r="G45" s="75"/>
      <c r="H45" s="75"/>
      <c r="I45" s="106"/>
      <c r="J45" s="106"/>
      <c r="K45" s="106"/>
      <c r="L45" s="106"/>
      <c r="M45" s="106"/>
      <c r="N45" s="106"/>
    </row>
    <row r="46" spans="1:22" x14ac:dyDescent="0.2">
      <c r="A46" s="68"/>
      <c r="B46" s="75"/>
      <c r="C46" s="75"/>
      <c r="D46" s="75"/>
      <c r="E46" s="75"/>
      <c r="F46" s="77"/>
      <c r="G46" s="75"/>
      <c r="H46" s="75"/>
      <c r="I46" s="106"/>
      <c r="J46" s="106"/>
      <c r="K46" s="106"/>
      <c r="L46" s="106"/>
      <c r="M46" s="106"/>
      <c r="N46" s="106"/>
    </row>
    <row r="47" spans="1:22" x14ac:dyDescent="0.2">
      <c r="A47" s="68"/>
      <c r="B47" s="75"/>
      <c r="C47" s="75"/>
      <c r="D47" s="75"/>
      <c r="E47" s="75"/>
      <c r="F47" s="77"/>
      <c r="G47" s="75"/>
      <c r="H47" s="75"/>
      <c r="I47" s="106"/>
      <c r="J47" s="106"/>
      <c r="K47" s="106"/>
      <c r="L47" s="106"/>
      <c r="M47" s="106"/>
      <c r="N47" s="106"/>
    </row>
    <row r="48" spans="1:22" x14ac:dyDescent="0.2">
      <c r="A48" s="68"/>
      <c r="B48" s="75"/>
      <c r="C48" s="75"/>
      <c r="D48" s="75"/>
      <c r="E48" s="75"/>
      <c r="F48" s="77"/>
      <c r="G48" s="75"/>
      <c r="H48" s="75"/>
      <c r="I48" s="106"/>
      <c r="J48" s="106"/>
      <c r="K48" s="106"/>
      <c r="L48" s="106"/>
      <c r="M48" s="106"/>
      <c r="N48" s="106"/>
    </row>
    <row r="50" spans="1:21" ht="12" thickBot="1" x14ac:dyDescent="0.25"/>
    <row r="51" spans="1:21" x14ac:dyDescent="0.2">
      <c r="A51" s="63" t="s">
        <v>27</v>
      </c>
      <c r="B51" s="64" t="s">
        <v>54</v>
      </c>
      <c r="C51" s="64"/>
      <c r="D51" s="64"/>
      <c r="E51" s="84"/>
      <c r="G51" s="62"/>
      <c r="K51" s="85"/>
      <c r="N51" s="60">
        <v>2</v>
      </c>
    </row>
    <row r="52" spans="1:21" ht="12" thickBot="1" x14ac:dyDescent="0.25">
      <c r="A52" s="86" t="s">
        <v>1</v>
      </c>
      <c r="B52" s="72" t="s">
        <v>62</v>
      </c>
      <c r="C52" s="87"/>
      <c r="D52" s="75"/>
      <c r="E52" s="70"/>
      <c r="F52" s="77"/>
      <c r="G52" s="78"/>
      <c r="H52" s="79"/>
    </row>
    <row r="53" spans="1:21" ht="12" thickBot="1" x14ac:dyDescent="0.25">
      <c r="A53" s="88" t="s">
        <v>3</v>
      </c>
      <c r="B53" s="39" t="s">
        <v>4</v>
      </c>
      <c r="C53" s="77" t="s">
        <v>5</v>
      </c>
      <c r="D53" s="39" t="s">
        <v>90</v>
      </c>
      <c r="E53" s="39" t="s">
        <v>6</v>
      </c>
      <c r="F53" s="43" t="s">
        <v>7</v>
      </c>
      <c r="G53" s="39" t="s">
        <v>68</v>
      </c>
      <c r="H53" s="39" t="s">
        <v>8</v>
      </c>
      <c r="I53" s="43" t="s">
        <v>65</v>
      </c>
      <c r="K53" s="43" t="s">
        <v>71</v>
      </c>
      <c r="L53" s="43" t="s">
        <v>73</v>
      </c>
      <c r="M53" s="89" t="s">
        <v>75</v>
      </c>
      <c r="N53" s="43" t="s">
        <v>76</v>
      </c>
      <c r="P53" s="142" t="s">
        <v>92</v>
      </c>
      <c r="Q53" s="143"/>
      <c r="R53" s="143"/>
      <c r="S53" s="143"/>
      <c r="T53" s="143"/>
      <c r="U53" s="144"/>
    </row>
    <row r="54" spans="1:21" ht="12" thickBot="1" x14ac:dyDescent="0.25">
      <c r="A54" s="40"/>
      <c r="B54" s="41" t="s">
        <v>9</v>
      </c>
      <c r="C54" s="48" t="s">
        <v>10</v>
      </c>
      <c r="D54" s="41" t="s">
        <v>91</v>
      </c>
      <c r="E54" s="41" t="s">
        <v>67</v>
      </c>
      <c r="F54" s="44" t="s">
        <v>12</v>
      </c>
      <c r="G54" s="41" t="s">
        <v>69</v>
      </c>
      <c r="H54" s="41" t="s">
        <v>70</v>
      </c>
      <c r="I54" s="44" t="s">
        <v>66</v>
      </c>
      <c r="K54" s="44" t="s">
        <v>72</v>
      </c>
      <c r="L54" s="44" t="s">
        <v>74</v>
      </c>
      <c r="M54" s="90" t="s">
        <v>69</v>
      </c>
      <c r="N54" s="44" t="s">
        <v>77</v>
      </c>
      <c r="P54" s="121" t="s">
        <v>93</v>
      </c>
      <c r="Q54" s="122" t="s">
        <v>94</v>
      </c>
      <c r="R54" s="122" t="s">
        <v>95</v>
      </c>
      <c r="S54" s="130" t="s">
        <v>106</v>
      </c>
      <c r="T54" s="130" t="s">
        <v>96</v>
      </c>
      <c r="U54" s="134" t="s">
        <v>97</v>
      </c>
    </row>
    <row r="55" spans="1:21" ht="12.75" x14ac:dyDescent="0.2">
      <c r="A55" s="91" t="s">
        <v>14</v>
      </c>
      <c r="B55" s="92">
        <v>1713354</v>
      </c>
      <c r="C55" s="93">
        <f>182986+10280+119935-1713</f>
        <v>311488</v>
      </c>
      <c r="D55" s="93">
        <f>B55*0.1%</f>
        <v>1713.354</v>
      </c>
      <c r="E55" s="93">
        <f>B55-C55-L55</f>
        <v>1383457</v>
      </c>
      <c r="F55" s="125">
        <v>1.036</v>
      </c>
      <c r="G55" s="94">
        <f t="shared" ref="G55:G66" si="15">B55*F55</f>
        <v>1775034.7439999999</v>
      </c>
      <c r="H55" s="99">
        <f t="shared" ref="H55:H66" si="16">E55*F55</f>
        <v>1433261.452</v>
      </c>
      <c r="I55" s="98">
        <f>P55+Q55+R55+T55+U55</f>
        <v>100573.35400000001</v>
      </c>
      <c r="K55" s="97">
        <f>C55+I55</f>
        <v>412061.35399999999</v>
      </c>
      <c r="L55" s="96">
        <v>18409</v>
      </c>
      <c r="M55" s="96">
        <f>L55*F55</f>
        <v>19071.724000000002</v>
      </c>
      <c r="N55" s="96">
        <v>0</v>
      </c>
      <c r="P55" s="96">
        <v>26386</v>
      </c>
      <c r="Q55" s="96">
        <v>41120</v>
      </c>
      <c r="R55" s="96">
        <v>15934</v>
      </c>
      <c r="S55" s="131"/>
      <c r="T55" s="131">
        <v>15420</v>
      </c>
      <c r="U55" s="97">
        <f>D55</f>
        <v>1713.354</v>
      </c>
    </row>
    <row r="56" spans="1:21" ht="12.75" x14ac:dyDescent="0.2">
      <c r="A56" s="91" t="s">
        <v>15</v>
      </c>
      <c r="B56" s="93">
        <v>1713354</v>
      </c>
      <c r="C56" s="93">
        <f>182986+10280+119935-1713</f>
        <v>311488</v>
      </c>
      <c r="D56" s="93">
        <f t="shared" ref="D56:D66" si="17">B56*0.1%</f>
        <v>1713.354</v>
      </c>
      <c r="E56" s="93">
        <f t="shared" ref="E56:E66" si="18">B56-C56-L56</f>
        <v>1383381</v>
      </c>
      <c r="F56" s="126">
        <v>1.026</v>
      </c>
      <c r="G56" s="94">
        <f t="shared" si="15"/>
        <v>1757901.2040000001</v>
      </c>
      <c r="H56" s="99">
        <f t="shared" si="16"/>
        <v>1419348.906</v>
      </c>
      <c r="I56" s="98">
        <f t="shared" ref="I56:I66" si="19">P56+Q56+R56+T56+U56</f>
        <v>100573.35400000001</v>
      </c>
      <c r="K56" s="97">
        <f t="shared" ref="K56:K66" si="20">C56+I56</f>
        <v>412061.35399999999</v>
      </c>
      <c r="L56" s="98">
        <v>18485</v>
      </c>
      <c r="M56" s="96">
        <f t="shared" ref="M56:M66" si="21">L56*F56</f>
        <v>18965.61</v>
      </c>
      <c r="N56" s="98">
        <v>0</v>
      </c>
      <c r="P56" s="98">
        <v>26386</v>
      </c>
      <c r="Q56" s="98">
        <v>41120</v>
      </c>
      <c r="R56" s="98">
        <v>15934</v>
      </c>
      <c r="S56" s="132"/>
      <c r="T56" s="132">
        <v>15420</v>
      </c>
      <c r="U56" s="97">
        <f t="shared" ref="U56:U66" si="22">D56</f>
        <v>1713.354</v>
      </c>
    </row>
    <row r="57" spans="1:21" ht="12.75" x14ac:dyDescent="0.2">
      <c r="A57" s="91" t="s">
        <v>16</v>
      </c>
      <c r="B57" s="99">
        <v>1713354</v>
      </c>
      <c r="C57" s="93">
        <f>182986+10280+119935-1713</f>
        <v>311488</v>
      </c>
      <c r="D57" s="93">
        <f t="shared" si="17"/>
        <v>1713.354</v>
      </c>
      <c r="E57" s="93">
        <f t="shared" si="18"/>
        <v>1383531</v>
      </c>
      <c r="F57" s="126">
        <v>1.022</v>
      </c>
      <c r="G57" s="94">
        <f t="shared" si="15"/>
        <v>1751047.7879999999</v>
      </c>
      <c r="H57" s="99">
        <f t="shared" si="16"/>
        <v>1413968.682</v>
      </c>
      <c r="I57" s="98">
        <f t="shared" si="19"/>
        <v>100573.35400000001</v>
      </c>
      <c r="K57" s="97">
        <f t="shared" si="20"/>
        <v>412061.35399999999</v>
      </c>
      <c r="L57" s="98">
        <v>18335</v>
      </c>
      <c r="M57" s="96">
        <f t="shared" si="21"/>
        <v>18738.37</v>
      </c>
      <c r="N57" s="98">
        <v>0</v>
      </c>
      <c r="P57" s="98">
        <v>26386</v>
      </c>
      <c r="Q57" s="98">
        <v>41120</v>
      </c>
      <c r="R57" s="98">
        <v>15934</v>
      </c>
      <c r="S57" s="132"/>
      <c r="T57" s="132">
        <v>15420</v>
      </c>
      <c r="U57" s="97">
        <f t="shared" si="22"/>
        <v>1713.354</v>
      </c>
    </row>
    <row r="58" spans="1:21" ht="12.75" x14ac:dyDescent="0.2">
      <c r="A58" s="91" t="s">
        <v>17</v>
      </c>
      <c r="B58" s="99">
        <v>1713354</v>
      </c>
      <c r="C58" s="93">
        <f>182986+10280+119935-1713</f>
        <v>311488</v>
      </c>
      <c r="D58" s="93">
        <f t="shared" si="17"/>
        <v>1713.354</v>
      </c>
      <c r="E58" s="93">
        <f t="shared" si="18"/>
        <v>1383531</v>
      </c>
      <c r="F58" s="126">
        <v>1.016</v>
      </c>
      <c r="G58" s="94">
        <f t="shared" si="15"/>
        <v>1740767.6640000001</v>
      </c>
      <c r="H58" s="99">
        <f t="shared" si="16"/>
        <v>1405667.496</v>
      </c>
      <c r="I58" s="98">
        <f t="shared" si="19"/>
        <v>101943.35400000001</v>
      </c>
      <c r="K58" s="97">
        <f t="shared" si="20"/>
        <v>413431.35399999999</v>
      </c>
      <c r="L58" s="98">
        <v>18335</v>
      </c>
      <c r="M58" s="96">
        <f t="shared" si="21"/>
        <v>18628.36</v>
      </c>
      <c r="N58" s="98">
        <v>0</v>
      </c>
      <c r="P58" s="98">
        <v>27756</v>
      </c>
      <c r="Q58" s="98">
        <v>41120</v>
      </c>
      <c r="R58" s="98">
        <v>15934</v>
      </c>
      <c r="S58" s="132"/>
      <c r="T58" s="132">
        <v>15420</v>
      </c>
      <c r="U58" s="97">
        <f t="shared" si="22"/>
        <v>1713.354</v>
      </c>
    </row>
    <row r="59" spans="1:21" ht="12.75" x14ac:dyDescent="0.2">
      <c r="A59" s="91" t="s">
        <v>18</v>
      </c>
      <c r="B59" s="99">
        <v>1713354</v>
      </c>
      <c r="C59" s="93">
        <f>182986+10280+119935-D59</f>
        <v>311487.64600000001</v>
      </c>
      <c r="D59" s="93">
        <f t="shared" si="17"/>
        <v>1713.354</v>
      </c>
      <c r="E59" s="93">
        <f t="shared" si="18"/>
        <v>1383909.3540000001</v>
      </c>
      <c r="F59" s="126">
        <v>1.014</v>
      </c>
      <c r="G59" s="94">
        <f t="shared" si="15"/>
        <v>1737340.956</v>
      </c>
      <c r="H59" s="99">
        <f t="shared" si="16"/>
        <v>1403284.0849560001</v>
      </c>
      <c r="I59" s="98">
        <f t="shared" si="19"/>
        <v>101943.35400000001</v>
      </c>
      <c r="K59" s="97">
        <f t="shared" si="20"/>
        <v>413431</v>
      </c>
      <c r="L59" s="98">
        <v>17957</v>
      </c>
      <c r="M59" s="96">
        <f t="shared" si="21"/>
        <v>18208.398000000001</v>
      </c>
      <c r="N59" s="98">
        <v>0</v>
      </c>
      <c r="P59" s="98">
        <v>27756</v>
      </c>
      <c r="Q59" s="98">
        <v>41120</v>
      </c>
      <c r="R59" s="98">
        <v>15934</v>
      </c>
      <c r="S59" s="132"/>
      <c r="T59" s="132">
        <v>15420</v>
      </c>
      <c r="U59" s="97">
        <f t="shared" si="22"/>
        <v>1713.354</v>
      </c>
    </row>
    <row r="60" spans="1:21" ht="12.75" x14ac:dyDescent="0.2">
      <c r="A60" s="91" t="s">
        <v>19</v>
      </c>
      <c r="B60" s="93">
        <v>1719115</v>
      </c>
      <c r="C60" s="93">
        <f>183601+10315+120338-D60</f>
        <v>312534.88500000001</v>
      </c>
      <c r="D60" s="93">
        <f t="shared" si="17"/>
        <v>1719.115</v>
      </c>
      <c r="E60" s="93">
        <f t="shared" si="18"/>
        <v>1388930.115</v>
      </c>
      <c r="F60" s="126">
        <v>1.012</v>
      </c>
      <c r="G60" s="94">
        <f t="shared" si="15"/>
        <v>1739744.3800000001</v>
      </c>
      <c r="H60" s="99">
        <f t="shared" si="16"/>
        <v>1405597.2763799999</v>
      </c>
      <c r="I60" s="98">
        <f t="shared" si="19"/>
        <v>102288.11500000001</v>
      </c>
      <c r="K60" s="97">
        <f t="shared" si="20"/>
        <v>414823</v>
      </c>
      <c r="L60" s="107">
        <v>17650</v>
      </c>
      <c r="M60" s="96">
        <f t="shared" si="21"/>
        <v>17861.8</v>
      </c>
      <c r="N60" s="98">
        <v>0</v>
      </c>
      <c r="P60" s="98">
        <v>27850</v>
      </c>
      <c r="Q60" s="98">
        <v>41259</v>
      </c>
      <c r="R60" s="98">
        <v>15988</v>
      </c>
      <c r="S60" s="132"/>
      <c r="T60" s="132">
        <v>15472</v>
      </c>
      <c r="U60" s="97">
        <f t="shared" si="22"/>
        <v>1719.115</v>
      </c>
    </row>
    <row r="61" spans="1:21" ht="12.75" x14ac:dyDescent="0.2">
      <c r="A61" s="91" t="s">
        <v>20</v>
      </c>
      <c r="B61" s="93">
        <v>1719115</v>
      </c>
      <c r="C61" s="93">
        <f>183601+10315+120338-D61</f>
        <v>312534.88500000001</v>
      </c>
      <c r="D61" s="93">
        <f t="shared" si="17"/>
        <v>1719.115</v>
      </c>
      <c r="E61" s="93">
        <f t="shared" si="18"/>
        <v>1389007.115</v>
      </c>
      <c r="F61" s="126">
        <v>1.0169999999999999</v>
      </c>
      <c r="G61" s="94">
        <f t="shared" si="15"/>
        <v>1748339.9549999998</v>
      </c>
      <c r="H61" s="99">
        <f t="shared" si="16"/>
        <v>1412620.2359549999</v>
      </c>
      <c r="I61" s="98">
        <f t="shared" si="19"/>
        <v>108820.11500000001</v>
      </c>
      <c r="K61" s="97">
        <f t="shared" si="20"/>
        <v>421355</v>
      </c>
      <c r="L61" s="98">
        <v>17573</v>
      </c>
      <c r="M61" s="96">
        <f t="shared" si="21"/>
        <v>17871.740999999998</v>
      </c>
      <c r="N61" s="98">
        <v>0</v>
      </c>
      <c r="P61" s="98">
        <v>34382</v>
      </c>
      <c r="Q61" s="98">
        <v>41259</v>
      </c>
      <c r="R61" s="98">
        <v>15988</v>
      </c>
      <c r="S61" s="132"/>
      <c r="T61" s="132">
        <v>15472</v>
      </c>
      <c r="U61" s="97">
        <f t="shared" si="22"/>
        <v>1719.115</v>
      </c>
    </row>
    <row r="62" spans="1:21" ht="12.75" x14ac:dyDescent="0.2">
      <c r="A62" s="91" t="s">
        <v>21</v>
      </c>
      <c r="B62" s="93"/>
      <c r="C62" s="93"/>
      <c r="D62" s="93">
        <f t="shared" si="17"/>
        <v>0</v>
      </c>
      <c r="E62" s="93">
        <f t="shared" si="18"/>
        <v>0</v>
      </c>
      <c r="F62" s="126">
        <v>1.008</v>
      </c>
      <c r="G62" s="94">
        <f t="shared" si="15"/>
        <v>0</v>
      </c>
      <c r="H62" s="99">
        <f t="shared" si="16"/>
        <v>0</v>
      </c>
      <c r="I62" s="98">
        <f t="shared" si="19"/>
        <v>0</v>
      </c>
      <c r="K62" s="97">
        <f t="shared" si="20"/>
        <v>0</v>
      </c>
      <c r="L62" s="98"/>
      <c r="M62" s="96">
        <f t="shared" si="21"/>
        <v>0</v>
      </c>
      <c r="N62" s="98">
        <v>0</v>
      </c>
      <c r="P62" s="98"/>
      <c r="Q62" s="98"/>
      <c r="R62" s="98"/>
      <c r="S62" s="132"/>
      <c r="T62" s="132"/>
      <c r="U62" s="97">
        <f t="shared" si="22"/>
        <v>0</v>
      </c>
    </row>
    <row r="63" spans="1:21" ht="12.75" x14ac:dyDescent="0.2">
      <c r="A63" s="91" t="s">
        <v>22</v>
      </c>
      <c r="B63" s="93"/>
      <c r="C63" s="93"/>
      <c r="D63" s="93">
        <f t="shared" si="17"/>
        <v>0</v>
      </c>
      <c r="E63" s="93">
        <f t="shared" si="18"/>
        <v>0</v>
      </c>
      <c r="F63" s="126">
        <v>1.0069999999999999</v>
      </c>
      <c r="G63" s="94">
        <f t="shared" si="15"/>
        <v>0</v>
      </c>
      <c r="H63" s="99">
        <f t="shared" si="16"/>
        <v>0</v>
      </c>
      <c r="I63" s="98">
        <f t="shared" si="19"/>
        <v>0</v>
      </c>
      <c r="K63" s="97">
        <f t="shared" si="20"/>
        <v>0</v>
      </c>
      <c r="L63" s="98"/>
      <c r="M63" s="96">
        <f t="shared" si="21"/>
        <v>0</v>
      </c>
      <c r="N63" s="98">
        <v>0</v>
      </c>
      <c r="P63" s="98"/>
      <c r="Q63" s="98"/>
      <c r="R63" s="98"/>
      <c r="S63" s="132"/>
      <c r="T63" s="132"/>
      <c r="U63" s="97">
        <f t="shared" si="22"/>
        <v>0</v>
      </c>
    </row>
    <row r="64" spans="1:21" ht="12.75" x14ac:dyDescent="0.2">
      <c r="A64" s="91" t="s">
        <v>23</v>
      </c>
      <c r="B64" s="93"/>
      <c r="C64" s="93"/>
      <c r="D64" s="93">
        <f t="shared" si="17"/>
        <v>0</v>
      </c>
      <c r="E64" s="93">
        <f t="shared" si="18"/>
        <v>0</v>
      </c>
      <c r="F64" s="126">
        <v>1.0029999999999999</v>
      </c>
      <c r="G64" s="94">
        <f t="shared" si="15"/>
        <v>0</v>
      </c>
      <c r="H64" s="99">
        <f t="shared" si="16"/>
        <v>0</v>
      </c>
      <c r="I64" s="98">
        <f t="shared" si="19"/>
        <v>0</v>
      </c>
      <c r="K64" s="97">
        <f t="shared" si="20"/>
        <v>0</v>
      </c>
      <c r="L64" s="98"/>
      <c r="M64" s="96">
        <f t="shared" si="21"/>
        <v>0</v>
      </c>
      <c r="N64" s="98">
        <v>0</v>
      </c>
      <c r="P64" s="98"/>
      <c r="Q64" s="98"/>
      <c r="R64" s="98"/>
      <c r="S64" s="132"/>
      <c r="T64" s="132"/>
      <c r="U64" s="97">
        <f t="shared" si="22"/>
        <v>0</v>
      </c>
    </row>
    <row r="65" spans="1:21" ht="12.75" x14ac:dyDescent="0.2">
      <c r="A65" s="91" t="s">
        <v>24</v>
      </c>
      <c r="B65" s="93"/>
      <c r="C65" s="93"/>
      <c r="D65" s="93">
        <f t="shared" si="17"/>
        <v>0</v>
      </c>
      <c r="E65" s="93">
        <f t="shared" si="18"/>
        <v>0</v>
      </c>
      <c r="F65" s="126">
        <v>1.0029999999999999</v>
      </c>
      <c r="G65" s="94">
        <f t="shared" si="15"/>
        <v>0</v>
      </c>
      <c r="H65" s="99">
        <f t="shared" si="16"/>
        <v>0</v>
      </c>
      <c r="I65" s="98">
        <f t="shared" si="19"/>
        <v>0</v>
      </c>
      <c r="K65" s="97">
        <f t="shared" si="20"/>
        <v>0</v>
      </c>
      <c r="L65" s="98"/>
      <c r="M65" s="96">
        <f t="shared" si="21"/>
        <v>0</v>
      </c>
      <c r="N65" s="98">
        <v>0</v>
      </c>
      <c r="P65" s="98"/>
      <c r="Q65" s="98"/>
      <c r="R65" s="98"/>
      <c r="S65" s="132"/>
      <c r="T65" s="132"/>
      <c r="U65" s="97">
        <f t="shared" si="22"/>
        <v>0</v>
      </c>
    </row>
    <row r="66" spans="1:21" ht="13.5" thickBot="1" x14ac:dyDescent="0.25">
      <c r="A66" s="100" t="s">
        <v>25</v>
      </c>
      <c r="B66" s="93"/>
      <c r="C66" s="93"/>
      <c r="D66" s="93">
        <f t="shared" si="17"/>
        <v>0</v>
      </c>
      <c r="E66" s="93">
        <f t="shared" si="18"/>
        <v>0</v>
      </c>
      <c r="F66" s="127">
        <v>1</v>
      </c>
      <c r="G66" s="94">
        <f t="shared" si="15"/>
        <v>0</v>
      </c>
      <c r="H66" s="99">
        <f t="shared" si="16"/>
        <v>0</v>
      </c>
      <c r="I66" s="98">
        <f t="shared" si="19"/>
        <v>0</v>
      </c>
      <c r="K66" s="97">
        <f t="shared" si="20"/>
        <v>0</v>
      </c>
      <c r="L66" s="101"/>
      <c r="M66" s="96">
        <f t="shared" si="21"/>
        <v>0</v>
      </c>
      <c r="N66" s="101">
        <v>0</v>
      </c>
      <c r="P66" s="101"/>
      <c r="Q66" s="101"/>
      <c r="R66" s="101"/>
      <c r="S66" s="133"/>
      <c r="T66" s="133"/>
      <c r="U66" s="97">
        <f t="shared" si="22"/>
        <v>0</v>
      </c>
    </row>
    <row r="67" spans="1:21" ht="12" thickBot="1" x14ac:dyDescent="0.25">
      <c r="A67" s="81" t="s">
        <v>26</v>
      </c>
      <c r="B67" s="102">
        <f>SUM(B55:B66)</f>
        <v>12005000</v>
      </c>
      <c r="C67" s="103">
        <f>SUM(C55:C66)</f>
        <v>2182509.4160000002</v>
      </c>
      <c r="D67" s="102">
        <f>SUM(D55:D66)</f>
        <v>12005</v>
      </c>
      <c r="E67" s="102">
        <f>SUM(E55:E66)</f>
        <v>9695746.5840000007</v>
      </c>
      <c r="F67" s="51"/>
      <c r="G67" s="102">
        <f>SUM(G55:G66)</f>
        <v>12250176.691</v>
      </c>
      <c r="H67" s="102">
        <f>SUM(H55:H66)</f>
        <v>9893748.1332910005</v>
      </c>
      <c r="I67" s="105">
        <f>SUM(I55:I66)</f>
        <v>716715</v>
      </c>
      <c r="K67" s="105">
        <f>SUM(K55:K66)</f>
        <v>2899224.4160000002</v>
      </c>
      <c r="L67" s="105">
        <f>SUM(L55:L66)</f>
        <v>126744</v>
      </c>
      <c r="M67" s="105">
        <f>SUM(M55:M66)</f>
        <v>129346.003</v>
      </c>
      <c r="N67" s="105">
        <f>SUM(N55:N66)</f>
        <v>0</v>
      </c>
      <c r="P67" s="120">
        <f>SUM(P55:P66)</f>
        <v>196902</v>
      </c>
      <c r="Q67" s="120">
        <f>SUM(Q55:Q66)</f>
        <v>288118</v>
      </c>
      <c r="R67" s="120">
        <f>SUM(R55:R66)</f>
        <v>111646</v>
      </c>
      <c r="S67" s="120"/>
      <c r="T67" s="120">
        <f>SUM(T55:T66)</f>
        <v>108044</v>
      </c>
      <c r="U67" s="120">
        <f>SUM(U55:U66)</f>
        <v>12005</v>
      </c>
    </row>
    <row r="71" spans="1:21" x14ac:dyDescent="0.2">
      <c r="A71" s="68"/>
      <c r="B71" s="75"/>
      <c r="C71" s="75"/>
      <c r="D71" s="75"/>
      <c r="E71" s="75"/>
      <c r="F71" s="77"/>
      <c r="G71" s="75"/>
      <c r="H71" s="75"/>
      <c r="I71" s="106"/>
      <c r="K71" s="106"/>
      <c r="L71" s="106"/>
      <c r="M71" s="106"/>
    </row>
    <row r="72" spans="1:21" x14ac:dyDescent="0.2">
      <c r="A72" s="68"/>
      <c r="B72" s="75"/>
      <c r="C72" s="75"/>
      <c r="D72" s="75"/>
      <c r="E72" s="75"/>
      <c r="F72" s="77"/>
      <c r="G72" s="75"/>
      <c r="H72" s="75"/>
      <c r="I72" s="106"/>
      <c r="K72" s="106"/>
      <c r="L72" s="106"/>
      <c r="M72" s="106"/>
    </row>
    <row r="75" spans="1:21" ht="12" thickBot="1" x14ac:dyDescent="0.25"/>
    <row r="76" spans="1:21" x14ac:dyDescent="0.2">
      <c r="A76" s="63" t="s">
        <v>27</v>
      </c>
      <c r="B76" s="64" t="s">
        <v>63</v>
      </c>
      <c r="C76" s="64"/>
      <c r="D76" s="64"/>
      <c r="E76" s="84"/>
      <c r="G76" s="62"/>
      <c r="K76" s="85"/>
      <c r="N76" s="60">
        <v>3</v>
      </c>
    </row>
    <row r="77" spans="1:21" ht="12" thickBot="1" x14ac:dyDescent="0.25">
      <c r="A77" s="86" t="s">
        <v>1</v>
      </c>
      <c r="B77" s="72" t="s">
        <v>64</v>
      </c>
      <c r="C77" s="87"/>
      <c r="D77" s="75"/>
      <c r="E77" s="70"/>
      <c r="F77" s="77"/>
      <c r="G77" s="78"/>
      <c r="H77" s="79"/>
    </row>
    <row r="78" spans="1:21" ht="12" thickBot="1" x14ac:dyDescent="0.25">
      <c r="A78" s="88" t="s">
        <v>3</v>
      </c>
      <c r="B78" s="39" t="s">
        <v>4</v>
      </c>
      <c r="C78" s="77" t="s">
        <v>5</v>
      </c>
      <c r="D78" s="39" t="s">
        <v>90</v>
      </c>
      <c r="E78" s="39" t="s">
        <v>6</v>
      </c>
      <c r="F78" s="65" t="s">
        <v>7</v>
      </c>
      <c r="G78" s="39" t="s">
        <v>68</v>
      </c>
      <c r="H78" s="39" t="s">
        <v>8</v>
      </c>
      <c r="I78" s="43" t="s">
        <v>65</v>
      </c>
      <c r="K78" s="43" t="s">
        <v>71</v>
      </c>
      <c r="L78" s="43" t="s">
        <v>73</v>
      </c>
      <c r="M78" s="89" t="s">
        <v>75</v>
      </c>
      <c r="N78" s="43" t="s">
        <v>76</v>
      </c>
      <c r="P78" s="142" t="s">
        <v>92</v>
      </c>
      <c r="Q78" s="143"/>
      <c r="R78" s="143"/>
      <c r="S78" s="143"/>
      <c r="T78" s="143"/>
      <c r="U78" s="144"/>
    </row>
    <row r="79" spans="1:21" ht="12" thickBot="1" x14ac:dyDescent="0.25">
      <c r="A79" s="40"/>
      <c r="B79" s="41" t="s">
        <v>9</v>
      </c>
      <c r="C79" s="48" t="s">
        <v>10</v>
      </c>
      <c r="D79" s="41" t="s">
        <v>91</v>
      </c>
      <c r="E79" s="41" t="s">
        <v>67</v>
      </c>
      <c r="F79" s="73" t="s">
        <v>12</v>
      </c>
      <c r="G79" s="41" t="s">
        <v>69</v>
      </c>
      <c r="H79" s="41" t="s">
        <v>70</v>
      </c>
      <c r="I79" s="44" t="s">
        <v>66</v>
      </c>
      <c r="K79" s="44" t="s">
        <v>72</v>
      </c>
      <c r="L79" s="44" t="s">
        <v>74</v>
      </c>
      <c r="M79" s="90" t="s">
        <v>69</v>
      </c>
      <c r="N79" s="44" t="s">
        <v>77</v>
      </c>
      <c r="P79" s="121" t="s">
        <v>93</v>
      </c>
      <c r="Q79" s="122" t="s">
        <v>94</v>
      </c>
      <c r="R79" s="122" t="s">
        <v>95</v>
      </c>
      <c r="S79" s="130" t="s">
        <v>106</v>
      </c>
      <c r="T79" s="130" t="s">
        <v>96</v>
      </c>
      <c r="U79" s="134" t="s">
        <v>97</v>
      </c>
    </row>
    <row r="80" spans="1:21" ht="12.75" x14ac:dyDescent="0.2">
      <c r="A80" s="91" t="s">
        <v>14</v>
      </c>
      <c r="B80" s="92">
        <v>1713354</v>
      </c>
      <c r="C80" s="93">
        <f>182986+10280+119935-1713</f>
        <v>311488</v>
      </c>
      <c r="D80" s="93">
        <f>B80*0.1%</f>
        <v>1713.354</v>
      </c>
      <c r="E80" s="93">
        <f>B80-C80-L80</f>
        <v>1383457</v>
      </c>
      <c r="F80" s="125">
        <v>1.036</v>
      </c>
      <c r="G80" s="94">
        <f t="shared" ref="G80:G91" si="23">B80*F80</f>
        <v>1775034.7439999999</v>
      </c>
      <c r="H80" s="99">
        <f t="shared" ref="H80:H91" si="24">E80*F80</f>
        <v>1433261.452</v>
      </c>
      <c r="I80" s="98">
        <f>P80+Q80+R80+T80+U80</f>
        <v>100573.35400000001</v>
      </c>
      <c r="K80" s="97">
        <f>C80+I80</f>
        <v>412061.35399999999</v>
      </c>
      <c r="L80" s="96">
        <v>18409</v>
      </c>
      <c r="M80" s="96">
        <f>L80*F80</f>
        <v>19071.724000000002</v>
      </c>
      <c r="N80" s="96">
        <v>0</v>
      </c>
      <c r="P80" s="96">
        <v>26386</v>
      </c>
      <c r="Q80" s="96">
        <v>41120</v>
      </c>
      <c r="R80" s="96">
        <v>15934</v>
      </c>
      <c r="S80" s="131"/>
      <c r="T80" s="131">
        <v>15420</v>
      </c>
      <c r="U80" s="97">
        <f>D80</f>
        <v>1713.354</v>
      </c>
    </row>
    <row r="81" spans="1:21" ht="12.75" x14ac:dyDescent="0.2">
      <c r="A81" s="91" t="s">
        <v>15</v>
      </c>
      <c r="B81" s="93">
        <v>1713354</v>
      </c>
      <c r="C81" s="93">
        <f>182986+10280+119935-1713</f>
        <v>311488</v>
      </c>
      <c r="D81" s="93">
        <f t="shared" ref="D81:D91" si="25">B81*0.1%</f>
        <v>1713.354</v>
      </c>
      <c r="E81" s="93">
        <f t="shared" ref="E81:E91" si="26">B81-C81-L81</f>
        <v>1383381</v>
      </c>
      <c r="F81" s="126">
        <v>1.026</v>
      </c>
      <c r="G81" s="94">
        <f t="shared" si="23"/>
        <v>1757901.2040000001</v>
      </c>
      <c r="H81" s="99">
        <f t="shared" si="24"/>
        <v>1419348.906</v>
      </c>
      <c r="I81" s="98">
        <f t="shared" ref="I81:I91" si="27">P81+Q81+R81+T81+U81</f>
        <v>100573.35400000001</v>
      </c>
      <c r="K81" s="97">
        <f t="shared" ref="K81:K91" si="28">C81+I81</f>
        <v>412061.35399999999</v>
      </c>
      <c r="L81" s="98">
        <v>18485</v>
      </c>
      <c r="M81" s="96">
        <f t="shared" ref="M81:M91" si="29">L81*F81</f>
        <v>18965.61</v>
      </c>
      <c r="N81" s="98">
        <v>0</v>
      </c>
      <c r="P81" s="98">
        <v>26386</v>
      </c>
      <c r="Q81" s="98">
        <v>41120</v>
      </c>
      <c r="R81" s="98">
        <v>15934</v>
      </c>
      <c r="S81" s="132"/>
      <c r="T81" s="132">
        <v>15420</v>
      </c>
      <c r="U81" s="97">
        <f t="shared" ref="U81:U91" si="30">D81</f>
        <v>1713.354</v>
      </c>
    </row>
    <row r="82" spans="1:21" ht="12.75" x14ac:dyDescent="0.2">
      <c r="A82" s="91" t="s">
        <v>16</v>
      </c>
      <c r="B82" s="99">
        <v>1713354</v>
      </c>
      <c r="C82" s="93">
        <f>182986+10280+119935-1713</f>
        <v>311488</v>
      </c>
      <c r="D82" s="93">
        <f t="shared" si="25"/>
        <v>1713.354</v>
      </c>
      <c r="E82" s="93">
        <f t="shared" si="26"/>
        <v>1383531</v>
      </c>
      <c r="F82" s="126">
        <v>1.022</v>
      </c>
      <c r="G82" s="94">
        <f t="shared" si="23"/>
        <v>1751047.7879999999</v>
      </c>
      <c r="H82" s="99">
        <f t="shared" si="24"/>
        <v>1413968.682</v>
      </c>
      <c r="I82" s="98">
        <f t="shared" si="27"/>
        <v>100573.35400000001</v>
      </c>
      <c r="K82" s="97">
        <f t="shared" si="28"/>
        <v>412061.35399999999</v>
      </c>
      <c r="L82" s="98">
        <v>18335</v>
      </c>
      <c r="M82" s="96">
        <f t="shared" si="29"/>
        <v>18738.37</v>
      </c>
      <c r="N82" s="98">
        <v>0</v>
      </c>
      <c r="P82" s="98">
        <v>26386</v>
      </c>
      <c r="Q82" s="98">
        <v>41120</v>
      </c>
      <c r="R82" s="98">
        <v>15934</v>
      </c>
      <c r="S82" s="132"/>
      <c r="T82" s="132">
        <v>15420</v>
      </c>
      <c r="U82" s="97">
        <f t="shared" si="30"/>
        <v>1713.354</v>
      </c>
    </row>
    <row r="83" spans="1:21" ht="12.75" x14ac:dyDescent="0.2">
      <c r="A83" s="91" t="s">
        <v>17</v>
      </c>
      <c r="B83" s="99">
        <v>1713354</v>
      </c>
      <c r="C83" s="93">
        <f>182986+10280+119935-1713</f>
        <v>311488</v>
      </c>
      <c r="D83" s="93">
        <f t="shared" si="25"/>
        <v>1713.354</v>
      </c>
      <c r="E83" s="93">
        <f t="shared" si="26"/>
        <v>1383531</v>
      </c>
      <c r="F83" s="126">
        <v>1.016</v>
      </c>
      <c r="G83" s="94">
        <f t="shared" si="23"/>
        <v>1740767.6640000001</v>
      </c>
      <c r="H83" s="99">
        <f t="shared" si="24"/>
        <v>1405667.496</v>
      </c>
      <c r="I83" s="98">
        <f t="shared" si="27"/>
        <v>101943.35400000001</v>
      </c>
      <c r="K83" s="97">
        <f t="shared" si="28"/>
        <v>413431.35399999999</v>
      </c>
      <c r="L83" s="98">
        <v>18335</v>
      </c>
      <c r="M83" s="96">
        <f t="shared" si="29"/>
        <v>18628.36</v>
      </c>
      <c r="N83" s="98">
        <v>0</v>
      </c>
      <c r="P83" s="98">
        <v>27756</v>
      </c>
      <c r="Q83" s="98">
        <v>41120</v>
      </c>
      <c r="R83" s="98">
        <v>15934</v>
      </c>
      <c r="S83" s="132"/>
      <c r="T83" s="132">
        <v>15420</v>
      </c>
      <c r="U83" s="97">
        <f t="shared" si="30"/>
        <v>1713.354</v>
      </c>
    </row>
    <row r="84" spans="1:21" ht="12.75" x14ac:dyDescent="0.2">
      <c r="A84" s="91" t="s">
        <v>18</v>
      </c>
      <c r="B84" s="99">
        <v>1713354</v>
      </c>
      <c r="C84" s="93">
        <f>182986+10280+119935-D84</f>
        <v>311487.64600000001</v>
      </c>
      <c r="D84" s="93">
        <f t="shared" si="25"/>
        <v>1713.354</v>
      </c>
      <c r="E84" s="93">
        <f t="shared" si="26"/>
        <v>1383909.3540000001</v>
      </c>
      <c r="F84" s="126">
        <v>1.014</v>
      </c>
      <c r="G84" s="94">
        <f t="shared" si="23"/>
        <v>1737340.956</v>
      </c>
      <c r="H84" s="99">
        <f t="shared" si="24"/>
        <v>1403284.0849560001</v>
      </c>
      <c r="I84" s="98">
        <f t="shared" si="27"/>
        <v>101943.35400000001</v>
      </c>
      <c r="K84" s="97">
        <f t="shared" si="28"/>
        <v>413431</v>
      </c>
      <c r="L84" s="98">
        <v>17957</v>
      </c>
      <c r="M84" s="96">
        <f t="shared" si="29"/>
        <v>18208.398000000001</v>
      </c>
      <c r="N84" s="98">
        <v>0</v>
      </c>
      <c r="P84" s="98">
        <v>27756</v>
      </c>
      <c r="Q84" s="98">
        <v>41120</v>
      </c>
      <c r="R84" s="98">
        <v>15934</v>
      </c>
      <c r="S84" s="132"/>
      <c r="T84" s="132">
        <v>15420</v>
      </c>
      <c r="U84" s="97">
        <f t="shared" si="30"/>
        <v>1713.354</v>
      </c>
    </row>
    <row r="85" spans="1:21" ht="12.75" x14ac:dyDescent="0.2">
      <c r="A85" s="91" t="s">
        <v>19</v>
      </c>
      <c r="B85" s="93">
        <v>1719115</v>
      </c>
      <c r="C85" s="93">
        <f>183601+10315+120338-D85</f>
        <v>312534.88500000001</v>
      </c>
      <c r="D85" s="93">
        <f t="shared" si="25"/>
        <v>1719.115</v>
      </c>
      <c r="E85" s="93">
        <f t="shared" si="26"/>
        <v>1388930.115</v>
      </c>
      <c r="F85" s="126">
        <v>1.012</v>
      </c>
      <c r="G85" s="94">
        <f t="shared" si="23"/>
        <v>1739744.3800000001</v>
      </c>
      <c r="H85" s="99">
        <f t="shared" si="24"/>
        <v>1405597.2763799999</v>
      </c>
      <c r="I85" s="98">
        <f t="shared" si="27"/>
        <v>102288.11500000001</v>
      </c>
      <c r="K85" s="97">
        <f t="shared" si="28"/>
        <v>414823</v>
      </c>
      <c r="L85" s="107">
        <v>17650</v>
      </c>
      <c r="M85" s="96">
        <f t="shared" si="29"/>
        <v>17861.8</v>
      </c>
      <c r="N85" s="98">
        <v>0</v>
      </c>
      <c r="P85" s="98">
        <v>27850</v>
      </c>
      <c r="Q85" s="98">
        <v>41259</v>
      </c>
      <c r="R85" s="98">
        <v>15988</v>
      </c>
      <c r="S85" s="132"/>
      <c r="T85" s="132">
        <v>15472</v>
      </c>
      <c r="U85" s="97">
        <f t="shared" si="30"/>
        <v>1719.115</v>
      </c>
    </row>
    <row r="86" spans="1:21" ht="12.75" x14ac:dyDescent="0.2">
      <c r="A86" s="91" t="s">
        <v>20</v>
      </c>
      <c r="B86" s="93">
        <v>1719115</v>
      </c>
      <c r="C86" s="93">
        <f>183601+10315+120338-1719</f>
        <v>312535</v>
      </c>
      <c r="D86" s="93">
        <f t="shared" si="25"/>
        <v>1719.115</v>
      </c>
      <c r="E86" s="93">
        <f t="shared" si="26"/>
        <v>1389007</v>
      </c>
      <c r="F86" s="126">
        <v>1.0169999999999999</v>
      </c>
      <c r="G86" s="94">
        <f t="shared" si="23"/>
        <v>1748339.9549999998</v>
      </c>
      <c r="H86" s="99">
        <f t="shared" si="24"/>
        <v>1412620.1189999999</v>
      </c>
      <c r="I86" s="98">
        <f t="shared" si="27"/>
        <v>108820.11500000001</v>
      </c>
      <c r="K86" s="97">
        <f t="shared" si="28"/>
        <v>421355.11499999999</v>
      </c>
      <c r="L86" s="98">
        <v>17573</v>
      </c>
      <c r="M86" s="96">
        <f t="shared" si="29"/>
        <v>17871.740999999998</v>
      </c>
      <c r="N86" s="98">
        <v>0</v>
      </c>
      <c r="P86" s="98">
        <v>34382</v>
      </c>
      <c r="Q86" s="98">
        <v>41259</v>
      </c>
      <c r="R86" s="98">
        <v>15988</v>
      </c>
      <c r="S86" s="132"/>
      <c r="T86" s="132">
        <v>15472</v>
      </c>
      <c r="U86" s="97">
        <f t="shared" si="30"/>
        <v>1719.115</v>
      </c>
    </row>
    <row r="87" spans="1:21" ht="12.75" x14ac:dyDescent="0.2">
      <c r="A87" s="91" t="s">
        <v>21</v>
      </c>
      <c r="B87" s="93"/>
      <c r="C87" s="93"/>
      <c r="D87" s="93">
        <f t="shared" si="25"/>
        <v>0</v>
      </c>
      <c r="E87" s="93">
        <f t="shared" si="26"/>
        <v>0</v>
      </c>
      <c r="F87" s="126">
        <v>1.008</v>
      </c>
      <c r="G87" s="94">
        <f t="shared" si="23"/>
        <v>0</v>
      </c>
      <c r="H87" s="99">
        <f t="shared" si="24"/>
        <v>0</v>
      </c>
      <c r="I87" s="98">
        <f t="shared" si="27"/>
        <v>0</v>
      </c>
      <c r="K87" s="97">
        <f t="shared" si="28"/>
        <v>0</v>
      </c>
      <c r="L87" s="98"/>
      <c r="M87" s="96">
        <f t="shared" si="29"/>
        <v>0</v>
      </c>
      <c r="N87" s="98">
        <v>0</v>
      </c>
      <c r="P87" s="98"/>
      <c r="Q87" s="98"/>
      <c r="R87" s="98"/>
      <c r="S87" s="132"/>
      <c r="T87" s="132"/>
      <c r="U87" s="97">
        <f t="shared" si="30"/>
        <v>0</v>
      </c>
    </row>
    <row r="88" spans="1:21" ht="12.75" x14ac:dyDescent="0.2">
      <c r="A88" s="91" t="s">
        <v>22</v>
      </c>
      <c r="B88" s="93"/>
      <c r="C88" s="93"/>
      <c r="D88" s="93">
        <f t="shared" si="25"/>
        <v>0</v>
      </c>
      <c r="E88" s="93">
        <f t="shared" si="26"/>
        <v>0</v>
      </c>
      <c r="F88" s="126">
        <v>1.0069999999999999</v>
      </c>
      <c r="G88" s="94">
        <f t="shared" si="23"/>
        <v>0</v>
      </c>
      <c r="H88" s="99">
        <f t="shared" si="24"/>
        <v>0</v>
      </c>
      <c r="I88" s="98">
        <f t="shared" si="27"/>
        <v>0</v>
      </c>
      <c r="K88" s="97">
        <f t="shared" si="28"/>
        <v>0</v>
      </c>
      <c r="L88" s="98"/>
      <c r="M88" s="96">
        <f t="shared" si="29"/>
        <v>0</v>
      </c>
      <c r="N88" s="98">
        <v>0</v>
      </c>
      <c r="P88" s="98"/>
      <c r="Q88" s="98"/>
      <c r="R88" s="98"/>
      <c r="S88" s="132"/>
      <c r="T88" s="132"/>
      <c r="U88" s="97">
        <f t="shared" si="30"/>
        <v>0</v>
      </c>
    </row>
    <row r="89" spans="1:21" ht="12.75" x14ac:dyDescent="0.2">
      <c r="A89" s="91" t="s">
        <v>23</v>
      </c>
      <c r="B89" s="93"/>
      <c r="C89" s="93"/>
      <c r="D89" s="93">
        <f t="shared" si="25"/>
        <v>0</v>
      </c>
      <c r="E89" s="93">
        <f t="shared" si="26"/>
        <v>0</v>
      </c>
      <c r="F89" s="126">
        <v>1.0029999999999999</v>
      </c>
      <c r="G89" s="94">
        <f t="shared" si="23"/>
        <v>0</v>
      </c>
      <c r="H89" s="99">
        <f t="shared" si="24"/>
        <v>0</v>
      </c>
      <c r="I89" s="98">
        <f t="shared" si="27"/>
        <v>0</v>
      </c>
      <c r="K89" s="97">
        <f t="shared" si="28"/>
        <v>0</v>
      </c>
      <c r="L89" s="98"/>
      <c r="M89" s="96">
        <f t="shared" si="29"/>
        <v>0</v>
      </c>
      <c r="N89" s="98">
        <v>0</v>
      </c>
      <c r="P89" s="98"/>
      <c r="Q89" s="98"/>
      <c r="R89" s="98"/>
      <c r="S89" s="132"/>
      <c r="T89" s="132"/>
      <c r="U89" s="97">
        <f t="shared" si="30"/>
        <v>0</v>
      </c>
    </row>
    <row r="90" spans="1:21" ht="12.75" x14ac:dyDescent="0.2">
      <c r="A90" s="91" t="s">
        <v>24</v>
      </c>
      <c r="B90" s="93"/>
      <c r="C90" s="93"/>
      <c r="D90" s="93">
        <f t="shared" si="25"/>
        <v>0</v>
      </c>
      <c r="E90" s="93">
        <f t="shared" si="26"/>
        <v>0</v>
      </c>
      <c r="F90" s="126">
        <v>1.0029999999999999</v>
      </c>
      <c r="G90" s="94">
        <f t="shared" si="23"/>
        <v>0</v>
      </c>
      <c r="H90" s="99">
        <f t="shared" si="24"/>
        <v>0</v>
      </c>
      <c r="I90" s="98">
        <f t="shared" si="27"/>
        <v>0</v>
      </c>
      <c r="K90" s="97">
        <f t="shared" si="28"/>
        <v>0</v>
      </c>
      <c r="L90" s="98"/>
      <c r="M90" s="96">
        <f t="shared" si="29"/>
        <v>0</v>
      </c>
      <c r="N90" s="98">
        <v>0</v>
      </c>
      <c r="P90" s="98"/>
      <c r="Q90" s="98"/>
      <c r="R90" s="98"/>
      <c r="S90" s="132"/>
      <c r="T90" s="132"/>
      <c r="U90" s="97">
        <f t="shared" si="30"/>
        <v>0</v>
      </c>
    </row>
    <row r="91" spans="1:21" ht="13.5" thickBot="1" x14ac:dyDescent="0.25">
      <c r="A91" s="100" t="s">
        <v>25</v>
      </c>
      <c r="B91" s="93"/>
      <c r="C91" s="93"/>
      <c r="D91" s="93">
        <f t="shared" si="25"/>
        <v>0</v>
      </c>
      <c r="E91" s="93">
        <f t="shared" si="26"/>
        <v>0</v>
      </c>
      <c r="F91" s="127">
        <v>1</v>
      </c>
      <c r="G91" s="94">
        <f t="shared" si="23"/>
        <v>0</v>
      </c>
      <c r="H91" s="99">
        <f t="shared" si="24"/>
        <v>0</v>
      </c>
      <c r="I91" s="98">
        <f t="shared" si="27"/>
        <v>0</v>
      </c>
      <c r="K91" s="97">
        <f t="shared" si="28"/>
        <v>0</v>
      </c>
      <c r="L91" s="101"/>
      <c r="M91" s="96">
        <f t="shared" si="29"/>
        <v>0</v>
      </c>
      <c r="N91" s="101">
        <v>0</v>
      </c>
      <c r="P91" s="101"/>
      <c r="Q91" s="101"/>
      <c r="R91" s="101"/>
      <c r="S91" s="133"/>
      <c r="T91" s="133"/>
      <c r="U91" s="97">
        <f t="shared" si="30"/>
        <v>0</v>
      </c>
    </row>
    <row r="92" spans="1:21" ht="12" thickBot="1" x14ac:dyDescent="0.25">
      <c r="A92" s="81" t="s">
        <v>26</v>
      </c>
      <c r="B92" s="102">
        <f>SUM(B80:B91)</f>
        <v>12005000</v>
      </c>
      <c r="C92" s="103">
        <f>SUM(C80:C91)</f>
        <v>2182509.531</v>
      </c>
      <c r="D92" s="102">
        <f>SUM(D80:D91)</f>
        <v>12005</v>
      </c>
      <c r="E92" s="102">
        <f>SUM(E80:E91)</f>
        <v>9695746.4690000005</v>
      </c>
      <c r="F92" s="51"/>
      <c r="G92" s="102">
        <f>SUM(G80:G91)</f>
        <v>12250176.691</v>
      </c>
      <c r="H92" s="102">
        <f>SUM(H80:H91)</f>
        <v>9893748.0163360015</v>
      </c>
      <c r="I92" s="105">
        <f>SUM(I80:I91)</f>
        <v>716715</v>
      </c>
      <c r="K92" s="105">
        <f>SUM(K80:K91)</f>
        <v>2899224.5310000004</v>
      </c>
      <c r="L92" s="105">
        <f>SUM(L80:L91)</f>
        <v>126744</v>
      </c>
      <c r="M92" s="105">
        <f>SUM(M80:M91)</f>
        <v>129346.003</v>
      </c>
      <c r="N92" s="105">
        <f>SUM(N80:N91)</f>
        <v>0</v>
      </c>
      <c r="P92" s="120">
        <f>SUM(P80:P91)</f>
        <v>196902</v>
      </c>
      <c r="Q92" s="120">
        <f>SUM(Q80:Q91)</f>
        <v>288118</v>
      </c>
      <c r="R92" s="120">
        <f>SUM(R80:R91)</f>
        <v>111646</v>
      </c>
      <c r="S92" s="120"/>
      <c r="T92" s="120">
        <f>SUM(T80:T91)</f>
        <v>108044</v>
      </c>
      <c r="U92" s="120">
        <f>SUM(U80:U91)</f>
        <v>12005</v>
      </c>
    </row>
    <row r="99" spans="1:21" x14ac:dyDescent="0.2">
      <c r="A99" s="68"/>
      <c r="B99" s="75"/>
      <c r="C99" s="75"/>
      <c r="D99" s="75"/>
      <c r="E99" s="75"/>
      <c r="F99" s="77"/>
      <c r="G99" s="75"/>
      <c r="H99" s="75"/>
      <c r="I99" s="106"/>
      <c r="K99" s="106"/>
    </row>
    <row r="102" spans="1:21" x14ac:dyDescent="0.2">
      <c r="A102" s="68"/>
      <c r="B102" s="75"/>
      <c r="C102" s="75"/>
      <c r="D102" s="75"/>
      <c r="E102" s="75"/>
      <c r="F102" s="77"/>
      <c r="G102" s="75"/>
      <c r="H102" s="75"/>
      <c r="I102" s="106"/>
      <c r="K102" s="106"/>
      <c r="L102" s="106"/>
      <c r="M102" s="106"/>
      <c r="N102" s="106"/>
    </row>
    <row r="103" spans="1:21" x14ac:dyDescent="0.2">
      <c r="A103" s="68"/>
      <c r="B103" s="75"/>
      <c r="C103" s="75"/>
      <c r="D103" s="75"/>
      <c r="E103" s="75"/>
      <c r="F103" s="77"/>
      <c r="G103" s="75"/>
      <c r="H103" s="75"/>
      <c r="I103" s="106"/>
      <c r="K103" s="106"/>
      <c r="L103" s="106"/>
      <c r="M103" s="106"/>
      <c r="N103" s="106"/>
    </row>
    <row r="104" spans="1:21" x14ac:dyDescent="0.2">
      <c r="A104" s="68"/>
      <c r="B104" s="75"/>
      <c r="C104" s="75"/>
      <c r="D104" s="75"/>
      <c r="E104" s="75"/>
      <c r="F104" s="77"/>
      <c r="G104" s="75"/>
      <c r="H104" s="75"/>
      <c r="I104" s="106"/>
      <c r="K104" s="106"/>
      <c r="L104" s="106"/>
      <c r="M104" s="106"/>
      <c r="N104" s="106"/>
    </row>
    <row r="107" spans="1:21" ht="12" thickBot="1" x14ac:dyDescent="0.25"/>
    <row r="108" spans="1:21" x14ac:dyDescent="0.2">
      <c r="A108" s="63" t="s">
        <v>27</v>
      </c>
      <c r="B108" s="64" t="s">
        <v>55</v>
      </c>
      <c r="C108" s="64"/>
      <c r="D108" s="64"/>
      <c r="E108" s="84"/>
      <c r="G108" s="62"/>
      <c r="K108" s="85"/>
      <c r="N108" s="60">
        <v>4</v>
      </c>
    </row>
    <row r="109" spans="1:21" ht="12" thickBot="1" x14ac:dyDescent="0.25">
      <c r="A109" s="86" t="s">
        <v>1</v>
      </c>
      <c r="B109" s="108" t="s">
        <v>60</v>
      </c>
      <c r="C109" s="87"/>
      <c r="D109" s="75"/>
      <c r="E109" s="70"/>
      <c r="F109" s="77"/>
      <c r="G109" s="78"/>
      <c r="H109" s="79"/>
    </row>
    <row r="110" spans="1:21" ht="12" thickBot="1" x14ac:dyDescent="0.25">
      <c r="A110" s="88" t="s">
        <v>3</v>
      </c>
      <c r="B110" s="39" t="s">
        <v>4</v>
      </c>
      <c r="C110" s="77" t="s">
        <v>5</v>
      </c>
      <c r="D110" s="39" t="s">
        <v>90</v>
      </c>
      <c r="E110" s="39" t="s">
        <v>6</v>
      </c>
      <c r="F110" s="65" t="s">
        <v>7</v>
      </c>
      <c r="G110" s="39" t="s">
        <v>68</v>
      </c>
      <c r="H110" s="39" t="s">
        <v>8</v>
      </c>
      <c r="I110" s="43" t="s">
        <v>65</v>
      </c>
      <c r="K110" s="43" t="s">
        <v>71</v>
      </c>
      <c r="L110" s="43" t="s">
        <v>73</v>
      </c>
      <c r="M110" s="89" t="s">
        <v>75</v>
      </c>
      <c r="N110" s="43" t="s">
        <v>76</v>
      </c>
      <c r="P110" s="142" t="s">
        <v>92</v>
      </c>
      <c r="Q110" s="143"/>
      <c r="R110" s="143"/>
      <c r="S110" s="143"/>
      <c r="T110" s="143"/>
      <c r="U110" s="144"/>
    </row>
    <row r="111" spans="1:21" ht="12" thickBot="1" x14ac:dyDescent="0.25">
      <c r="A111" s="40"/>
      <c r="B111" s="41" t="s">
        <v>9</v>
      </c>
      <c r="C111" s="48" t="s">
        <v>10</v>
      </c>
      <c r="D111" s="41" t="s">
        <v>91</v>
      </c>
      <c r="E111" s="41" t="s">
        <v>67</v>
      </c>
      <c r="F111" s="73" t="s">
        <v>12</v>
      </c>
      <c r="G111" s="41" t="s">
        <v>69</v>
      </c>
      <c r="H111" s="41" t="s">
        <v>70</v>
      </c>
      <c r="I111" s="44" t="s">
        <v>66</v>
      </c>
      <c r="K111" s="44" t="s">
        <v>72</v>
      </c>
      <c r="L111" s="44" t="s">
        <v>74</v>
      </c>
      <c r="M111" s="90" t="s">
        <v>69</v>
      </c>
      <c r="N111" s="44" t="s">
        <v>77</v>
      </c>
      <c r="P111" s="121" t="s">
        <v>93</v>
      </c>
      <c r="Q111" s="122" t="s">
        <v>94</v>
      </c>
      <c r="R111" s="122" t="s">
        <v>95</v>
      </c>
      <c r="S111" s="130" t="s">
        <v>106</v>
      </c>
      <c r="T111" s="130" t="s">
        <v>96</v>
      </c>
      <c r="U111" s="134" t="s">
        <v>97</v>
      </c>
    </row>
    <row r="112" spans="1:21" ht="12.75" x14ac:dyDescent="0.2">
      <c r="A112" s="91" t="s">
        <v>14</v>
      </c>
      <c r="B112" s="92">
        <v>673750</v>
      </c>
      <c r="C112" s="93">
        <f>71957+4043+47163-674</f>
        <v>122489</v>
      </c>
      <c r="D112" s="113">
        <f>B112*0.1%</f>
        <v>673.75</v>
      </c>
      <c r="E112" s="92">
        <f>B112-C112+N112</f>
        <v>564766</v>
      </c>
      <c r="F112" s="125">
        <v>1.036</v>
      </c>
      <c r="G112" s="94">
        <f t="shared" ref="G112:G123" si="31">B112*F112</f>
        <v>698005</v>
      </c>
      <c r="H112" s="99">
        <f t="shared" ref="H112:H123" si="32">E112*F112</f>
        <v>585097.576</v>
      </c>
      <c r="I112" s="98">
        <f>P112++Q112+R112+T112+U112</f>
        <v>39549.75</v>
      </c>
      <c r="K112" s="97">
        <f>C112+I112-N112</f>
        <v>148533.75</v>
      </c>
      <c r="L112" s="96">
        <v>0</v>
      </c>
      <c r="M112" s="96">
        <f>L112*F112</f>
        <v>0</v>
      </c>
      <c r="N112" s="96">
        <v>13505</v>
      </c>
      <c r="P112" s="96">
        <v>10376</v>
      </c>
      <c r="Q112" s="96">
        <v>16170</v>
      </c>
      <c r="R112" s="96">
        <v>6266</v>
      </c>
      <c r="S112" s="131"/>
      <c r="T112" s="131">
        <v>6064</v>
      </c>
      <c r="U112" s="97">
        <f>D112</f>
        <v>673.75</v>
      </c>
    </row>
    <row r="113" spans="1:21" ht="12.75" x14ac:dyDescent="0.2">
      <c r="A113" s="91" t="s">
        <v>15</v>
      </c>
      <c r="B113" s="93">
        <v>673750</v>
      </c>
      <c r="C113" s="93">
        <f>71957+4043+47163-674</f>
        <v>122489</v>
      </c>
      <c r="D113" s="113">
        <f t="shared" ref="D113:D123" si="33">B113*0.1%</f>
        <v>673.75</v>
      </c>
      <c r="E113" s="93">
        <f t="shared" ref="E113:E123" si="34">B113-C113+N113</f>
        <v>564766</v>
      </c>
      <c r="F113" s="126">
        <v>1.026</v>
      </c>
      <c r="G113" s="94">
        <f t="shared" si="31"/>
        <v>691267.5</v>
      </c>
      <c r="H113" s="99">
        <f t="shared" si="32"/>
        <v>579449.91599999997</v>
      </c>
      <c r="I113" s="98">
        <f t="shared" ref="I113:I123" si="35">P113++Q113+R113+T113+U113</f>
        <v>39549.75</v>
      </c>
      <c r="K113" s="97">
        <f t="shared" ref="K113:K123" si="36">C113+I113-N113</f>
        <v>148533.75</v>
      </c>
      <c r="L113" s="98">
        <v>0</v>
      </c>
      <c r="M113" s="96">
        <f t="shared" ref="M113:M123" si="37">L113*F113</f>
        <v>0</v>
      </c>
      <c r="N113" s="98">
        <v>13505</v>
      </c>
      <c r="P113" s="98">
        <v>10376</v>
      </c>
      <c r="Q113" s="98">
        <v>16170</v>
      </c>
      <c r="R113" s="98">
        <v>6266</v>
      </c>
      <c r="S113" s="132"/>
      <c r="T113" s="132">
        <v>6064</v>
      </c>
      <c r="U113" s="97">
        <f t="shared" ref="U113:U123" si="38">D113</f>
        <v>673.75</v>
      </c>
    </row>
    <row r="114" spans="1:21" ht="12.75" x14ac:dyDescent="0.2">
      <c r="A114" s="91" t="s">
        <v>16</v>
      </c>
      <c r="B114" s="99">
        <v>673750</v>
      </c>
      <c r="C114" s="99">
        <f>71957+4043+47163-674</f>
        <v>122489</v>
      </c>
      <c r="D114" s="113">
        <f t="shared" si="33"/>
        <v>673.75</v>
      </c>
      <c r="E114" s="93">
        <f t="shared" si="34"/>
        <v>564766</v>
      </c>
      <c r="F114" s="126">
        <v>1.022</v>
      </c>
      <c r="G114" s="94">
        <f t="shared" si="31"/>
        <v>688572.5</v>
      </c>
      <c r="H114" s="99">
        <f t="shared" si="32"/>
        <v>577190.85199999996</v>
      </c>
      <c r="I114" s="98">
        <f t="shared" si="35"/>
        <v>39549.75</v>
      </c>
      <c r="K114" s="97">
        <f t="shared" si="36"/>
        <v>148533.75</v>
      </c>
      <c r="L114" s="98">
        <v>0</v>
      </c>
      <c r="M114" s="96">
        <f t="shared" si="37"/>
        <v>0</v>
      </c>
      <c r="N114" s="98">
        <v>13505</v>
      </c>
      <c r="P114" s="98">
        <v>10376</v>
      </c>
      <c r="Q114" s="98">
        <v>16170</v>
      </c>
      <c r="R114" s="98">
        <v>6266</v>
      </c>
      <c r="S114" s="132"/>
      <c r="T114" s="132">
        <v>6064</v>
      </c>
      <c r="U114" s="97">
        <f t="shared" si="38"/>
        <v>673.75</v>
      </c>
    </row>
    <row r="115" spans="1:21" ht="12.75" x14ac:dyDescent="0.2">
      <c r="A115" s="91" t="s">
        <v>17</v>
      </c>
      <c r="B115" s="99">
        <v>673750</v>
      </c>
      <c r="C115" s="99">
        <f>71957+4043+47163-674</f>
        <v>122489</v>
      </c>
      <c r="D115" s="113">
        <f t="shared" si="33"/>
        <v>673.75</v>
      </c>
      <c r="E115" s="93">
        <f t="shared" si="34"/>
        <v>564766</v>
      </c>
      <c r="F115" s="126">
        <v>1.016</v>
      </c>
      <c r="G115" s="94">
        <f t="shared" si="31"/>
        <v>684530</v>
      </c>
      <c r="H115" s="99">
        <f t="shared" si="32"/>
        <v>573802.25600000005</v>
      </c>
      <c r="I115" s="98">
        <f t="shared" si="35"/>
        <v>40088.75</v>
      </c>
      <c r="K115" s="97">
        <f t="shared" si="36"/>
        <v>149072.75</v>
      </c>
      <c r="L115" s="98">
        <v>0</v>
      </c>
      <c r="M115" s="96">
        <f t="shared" si="37"/>
        <v>0</v>
      </c>
      <c r="N115" s="98">
        <v>13505</v>
      </c>
      <c r="P115" s="98">
        <v>10915</v>
      </c>
      <c r="Q115" s="98">
        <v>16170</v>
      </c>
      <c r="R115" s="98">
        <v>6266</v>
      </c>
      <c r="S115" s="132"/>
      <c r="T115" s="132">
        <v>6064</v>
      </c>
      <c r="U115" s="97">
        <f t="shared" si="38"/>
        <v>673.75</v>
      </c>
    </row>
    <row r="116" spans="1:21" ht="12.75" x14ac:dyDescent="0.2">
      <c r="A116" s="91" t="s">
        <v>18</v>
      </c>
      <c r="B116" s="99">
        <v>673750</v>
      </c>
      <c r="C116" s="93">
        <f>71957+4043+47163-D116</f>
        <v>122489.25</v>
      </c>
      <c r="D116" s="113">
        <f t="shared" si="33"/>
        <v>673.75</v>
      </c>
      <c r="E116" s="93">
        <f t="shared" si="34"/>
        <v>564765.75</v>
      </c>
      <c r="F116" s="126">
        <v>1.014</v>
      </c>
      <c r="G116" s="94">
        <f t="shared" si="31"/>
        <v>683182.5</v>
      </c>
      <c r="H116" s="99">
        <f t="shared" si="32"/>
        <v>572672.47050000005</v>
      </c>
      <c r="I116" s="98">
        <f t="shared" si="35"/>
        <v>40088.75</v>
      </c>
      <c r="K116" s="97">
        <f t="shared" si="36"/>
        <v>149073</v>
      </c>
      <c r="L116" s="98">
        <v>0</v>
      </c>
      <c r="M116" s="96">
        <f t="shared" si="37"/>
        <v>0</v>
      </c>
      <c r="N116" s="98">
        <v>13505</v>
      </c>
      <c r="P116" s="98">
        <v>10915</v>
      </c>
      <c r="Q116" s="98">
        <v>16170</v>
      </c>
      <c r="R116" s="98">
        <v>6266</v>
      </c>
      <c r="S116" s="132"/>
      <c r="T116" s="132">
        <v>6064</v>
      </c>
      <c r="U116" s="97">
        <f t="shared" si="38"/>
        <v>673.75</v>
      </c>
    </row>
    <row r="117" spans="1:21" ht="12.75" x14ac:dyDescent="0.2">
      <c r="A117" s="91" t="s">
        <v>19</v>
      </c>
      <c r="B117" s="93">
        <v>710133</v>
      </c>
      <c r="C117" s="93">
        <f>75482+4261+49709-D117</f>
        <v>128741.867</v>
      </c>
      <c r="D117" s="113">
        <f t="shared" si="33"/>
        <v>710.13300000000004</v>
      </c>
      <c r="E117" s="93">
        <f t="shared" si="34"/>
        <v>595261.13300000003</v>
      </c>
      <c r="F117" s="126">
        <v>1.012</v>
      </c>
      <c r="G117" s="94">
        <f t="shared" si="31"/>
        <v>718654.59600000002</v>
      </c>
      <c r="H117" s="99">
        <f t="shared" si="32"/>
        <v>602404.26659600006</v>
      </c>
      <c r="I117" s="98">
        <f t="shared" si="35"/>
        <v>42252.133000000002</v>
      </c>
      <c r="K117" s="97">
        <f t="shared" si="36"/>
        <v>157124</v>
      </c>
      <c r="L117" s="98">
        <v>0</v>
      </c>
      <c r="M117" s="96">
        <f t="shared" si="37"/>
        <v>0</v>
      </c>
      <c r="N117" s="98">
        <v>13870</v>
      </c>
      <c r="P117" s="98">
        <v>11504</v>
      </c>
      <c r="Q117" s="98">
        <v>17043</v>
      </c>
      <c r="R117" s="98">
        <v>6604</v>
      </c>
      <c r="S117" s="132"/>
      <c r="T117" s="132">
        <v>6391</v>
      </c>
      <c r="U117" s="97">
        <f t="shared" si="38"/>
        <v>710.13300000000004</v>
      </c>
    </row>
    <row r="118" spans="1:21" ht="12.75" x14ac:dyDescent="0.2">
      <c r="A118" s="91" t="s">
        <v>20</v>
      </c>
      <c r="B118" s="93">
        <v>691941</v>
      </c>
      <c r="C118" s="93">
        <f>73899+4152+48436-D118</f>
        <v>125795.05899999999</v>
      </c>
      <c r="D118" s="113">
        <f t="shared" si="33"/>
        <v>691.94100000000003</v>
      </c>
      <c r="E118" s="93">
        <f t="shared" si="34"/>
        <v>580015.94099999999</v>
      </c>
      <c r="F118" s="126">
        <v>1.0169999999999999</v>
      </c>
      <c r="G118" s="94">
        <f t="shared" si="31"/>
        <v>703703.99699999997</v>
      </c>
      <c r="H118" s="99">
        <f t="shared" si="32"/>
        <v>589876.21199699992</v>
      </c>
      <c r="I118" s="98">
        <f t="shared" si="35"/>
        <v>43799.940999999999</v>
      </c>
      <c r="K118" s="97">
        <f t="shared" si="36"/>
        <v>155725</v>
      </c>
      <c r="L118" s="98">
        <v>0</v>
      </c>
      <c r="M118" s="96">
        <f t="shared" si="37"/>
        <v>0</v>
      </c>
      <c r="N118" s="98">
        <v>13870</v>
      </c>
      <c r="P118" s="98">
        <v>13839</v>
      </c>
      <c r="Q118" s="98">
        <v>16607</v>
      </c>
      <c r="R118" s="98">
        <v>6435</v>
      </c>
      <c r="S118" s="132"/>
      <c r="T118" s="132">
        <v>6227</v>
      </c>
      <c r="U118" s="97">
        <f t="shared" si="38"/>
        <v>691.94100000000003</v>
      </c>
    </row>
    <row r="119" spans="1:21" ht="12.75" x14ac:dyDescent="0.2">
      <c r="A119" s="91" t="s">
        <v>21</v>
      </c>
      <c r="B119" s="93"/>
      <c r="C119" s="93"/>
      <c r="D119" s="113">
        <f t="shared" si="33"/>
        <v>0</v>
      </c>
      <c r="E119" s="93">
        <f t="shared" si="34"/>
        <v>0</v>
      </c>
      <c r="F119" s="126">
        <v>1.008</v>
      </c>
      <c r="G119" s="94">
        <f t="shared" si="31"/>
        <v>0</v>
      </c>
      <c r="H119" s="99">
        <f t="shared" si="32"/>
        <v>0</v>
      </c>
      <c r="I119" s="98">
        <f t="shared" si="35"/>
        <v>0</v>
      </c>
      <c r="K119" s="97">
        <f t="shared" si="36"/>
        <v>0</v>
      </c>
      <c r="L119" s="98">
        <v>0</v>
      </c>
      <c r="M119" s="96">
        <f t="shared" si="37"/>
        <v>0</v>
      </c>
      <c r="N119" s="98"/>
      <c r="P119" s="98"/>
      <c r="Q119" s="98"/>
      <c r="R119" s="98"/>
      <c r="S119" s="132"/>
      <c r="T119" s="132"/>
      <c r="U119" s="97">
        <f t="shared" si="38"/>
        <v>0</v>
      </c>
    </row>
    <row r="120" spans="1:21" ht="12.75" x14ac:dyDescent="0.2">
      <c r="A120" s="91" t="s">
        <v>22</v>
      </c>
      <c r="B120" s="93"/>
      <c r="C120" s="93"/>
      <c r="D120" s="113">
        <f t="shared" si="33"/>
        <v>0</v>
      </c>
      <c r="E120" s="93">
        <f t="shared" si="34"/>
        <v>0</v>
      </c>
      <c r="F120" s="126">
        <v>1.0069999999999999</v>
      </c>
      <c r="G120" s="94">
        <f t="shared" si="31"/>
        <v>0</v>
      </c>
      <c r="H120" s="99">
        <f t="shared" si="32"/>
        <v>0</v>
      </c>
      <c r="I120" s="98">
        <f t="shared" si="35"/>
        <v>0</v>
      </c>
      <c r="K120" s="97">
        <f t="shared" si="36"/>
        <v>0</v>
      </c>
      <c r="L120" s="98">
        <v>0</v>
      </c>
      <c r="M120" s="96">
        <f t="shared" si="37"/>
        <v>0</v>
      </c>
      <c r="N120" s="98"/>
      <c r="P120" s="98"/>
      <c r="Q120" s="98"/>
      <c r="R120" s="98"/>
      <c r="S120" s="132"/>
      <c r="T120" s="132"/>
      <c r="U120" s="97">
        <f t="shared" si="38"/>
        <v>0</v>
      </c>
    </row>
    <row r="121" spans="1:21" ht="12.75" x14ac:dyDescent="0.2">
      <c r="A121" s="91" t="s">
        <v>23</v>
      </c>
      <c r="B121" s="93"/>
      <c r="C121" s="93"/>
      <c r="D121" s="113">
        <f t="shared" si="33"/>
        <v>0</v>
      </c>
      <c r="E121" s="93">
        <f t="shared" si="34"/>
        <v>0</v>
      </c>
      <c r="F121" s="126">
        <v>1.0029999999999999</v>
      </c>
      <c r="G121" s="94">
        <f t="shared" si="31"/>
        <v>0</v>
      </c>
      <c r="H121" s="99">
        <f t="shared" si="32"/>
        <v>0</v>
      </c>
      <c r="I121" s="98">
        <f t="shared" si="35"/>
        <v>0</v>
      </c>
      <c r="K121" s="97">
        <f t="shared" si="36"/>
        <v>0</v>
      </c>
      <c r="L121" s="98">
        <v>0</v>
      </c>
      <c r="M121" s="96">
        <f t="shared" si="37"/>
        <v>0</v>
      </c>
      <c r="N121" s="98"/>
      <c r="P121" s="98"/>
      <c r="Q121" s="98"/>
      <c r="R121" s="98"/>
      <c r="S121" s="132"/>
      <c r="T121" s="132"/>
      <c r="U121" s="97">
        <f t="shared" si="38"/>
        <v>0</v>
      </c>
    </row>
    <row r="122" spans="1:21" ht="12.75" x14ac:dyDescent="0.2">
      <c r="A122" s="91" t="s">
        <v>24</v>
      </c>
      <c r="B122" s="93"/>
      <c r="C122" s="93"/>
      <c r="D122" s="113">
        <f t="shared" si="33"/>
        <v>0</v>
      </c>
      <c r="E122" s="93">
        <f t="shared" si="34"/>
        <v>0</v>
      </c>
      <c r="F122" s="126">
        <v>1.0029999999999999</v>
      </c>
      <c r="G122" s="94">
        <f t="shared" si="31"/>
        <v>0</v>
      </c>
      <c r="H122" s="99">
        <f t="shared" si="32"/>
        <v>0</v>
      </c>
      <c r="I122" s="98">
        <f t="shared" si="35"/>
        <v>0</v>
      </c>
      <c r="K122" s="97">
        <f t="shared" si="36"/>
        <v>0</v>
      </c>
      <c r="L122" s="98">
        <v>0</v>
      </c>
      <c r="M122" s="96">
        <f t="shared" si="37"/>
        <v>0</v>
      </c>
      <c r="N122" s="98"/>
      <c r="P122" s="98"/>
      <c r="Q122" s="98"/>
      <c r="R122" s="98"/>
      <c r="S122" s="132"/>
      <c r="T122" s="132"/>
      <c r="U122" s="97">
        <f t="shared" si="38"/>
        <v>0</v>
      </c>
    </row>
    <row r="123" spans="1:21" ht="13.5" thickBot="1" x14ac:dyDescent="0.25">
      <c r="A123" s="100" t="s">
        <v>25</v>
      </c>
      <c r="B123" s="93"/>
      <c r="C123" s="93"/>
      <c r="D123" s="113">
        <f t="shared" si="33"/>
        <v>0</v>
      </c>
      <c r="E123" s="93">
        <f t="shared" si="34"/>
        <v>0</v>
      </c>
      <c r="F123" s="127">
        <v>1</v>
      </c>
      <c r="G123" s="94">
        <f t="shared" si="31"/>
        <v>0</v>
      </c>
      <c r="H123" s="99">
        <f t="shared" si="32"/>
        <v>0</v>
      </c>
      <c r="I123" s="98">
        <f t="shared" si="35"/>
        <v>0</v>
      </c>
      <c r="K123" s="97">
        <f t="shared" si="36"/>
        <v>0</v>
      </c>
      <c r="L123" s="101">
        <v>0</v>
      </c>
      <c r="M123" s="96">
        <f t="shared" si="37"/>
        <v>0</v>
      </c>
      <c r="N123" s="101"/>
      <c r="P123" s="101"/>
      <c r="Q123" s="101"/>
      <c r="R123" s="101"/>
      <c r="S123" s="133"/>
      <c r="T123" s="133"/>
      <c r="U123" s="97">
        <f t="shared" si="38"/>
        <v>0</v>
      </c>
    </row>
    <row r="124" spans="1:21" ht="12" thickBot="1" x14ac:dyDescent="0.25">
      <c r="A124" s="81" t="s">
        <v>26</v>
      </c>
      <c r="B124" s="102">
        <f>SUM(B112:B123)</f>
        <v>4770824</v>
      </c>
      <c r="C124" s="103">
        <f>SUM(C112:C123)</f>
        <v>866982.17599999998</v>
      </c>
      <c r="D124" s="102">
        <f>SUM(D112:D123)</f>
        <v>4770.8239999999996</v>
      </c>
      <c r="E124" s="128">
        <f>SUM(E112:E123)</f>
        <v>3999106.824</v>
      </c>
      <c r="F124" s="51"/>
      <c r="G124" s="102">
        <f>SUM(G112:G123)</f>
        <v>4867916.0930000003</v>
      </c>
      <c r="H124" s="102">
        <f>SUM(H112:H123)</f>
        <v>4080493.5490930006</v>
      </c>
      <c r="I124" s="105">
        <f>SUM(I112:I123)</f>
        <v>284878.82400000002</v>
      </c>
      <c r="K124" s="105">
        <f>SUM(K112:K123)</f>
        <v>1056596</v>
      </c>
      <c r="L124" s="105">
        <f>SUM(L112:L123)</f>
        <v>0</v>
      </c>
      <c r="M124" s="105">
        <f>SUM(M112:M123)</f>
        <v>0</v>
      </c>
      <c r="N124" s="105">
        <f>SUM(N112:N123)</f>
        <v>95265</v>
      </c>
      <c r="P124" s="120">
        <f>SUM(P112:P123)</f>
        <v>78301</v>
      </c>
      <c r="Q124" s="120">
        <f>SUM(Q112:Q123)</f>
        <v>114500</v>
      </c>
      <c r="R124" s="120">
        <f>SUM(R112:R123)</f>
        <v>44369</v>
      </c>
      <c r="S124" s="120"/>
      <c r="T124" s="120">
        <f>SUM(T112:T123)</f>
        <v>42938</v>
      </c>
      <c r="U124" s="120">
        <f>SUM(U112:U123)</f>
        <v>4770.8239999999996</v>
      </c>
    </row>
    <row r="132" spans="1:21" ht="12" thickBot="1" x14ac:dyDescent="0.25"/>
    <row r="133" spans="1:21" x14ac:dyDescent="0.2">
      <c r="A133" s="63" t="s">
        <v>27</v>
      </c>
      <c r="B133" s="64" t="s">
        <v>88</v>
      </c>
      <c r="C133" s="64"/>
      <c r="D133" s="64"/>
      <c r="E133" s="84"/>
      <c r="G133" s="62"/>
      <c r="K133" s="85"/>
      <c r="N133" s="60">
        <v>5</v>
      </c>
    </row>
    <row r="134" spans="1:21" ht="12" thickBot="1" x14ac:dyDescent="0.25">
      <c r="A134" s="86" t="s">
        <v>1</v>
      </c>
      <c r="B134" s="108" t="s">
        <v>89</v>
      </c>
      <c r="C134" s="87"/>
      <c r="D134" s="75"/>
      <c r="E134" s="70"/>
      <c r="F134" s="77"/>
      <c r="G134" s="78"/>
      <c r="H134" s="79"/>
    </row>
    <row r="135" spans="1:21" ht="13.5" customHeight="1" thickBot="1" x14ac:dyDescent="0.25">
      <c r="A135" s="88" t="s">
        <v>3</v>
      </c>
      <c r="B135" s="39" t="s">
        <v>4</v>
      </c>
      <c r="C135" s="77" t="s">
        <v>5</v>
      </c>
      <c r="D135" s="39" t="s">
        <v>90</v>
      </c>
      <c r="E135" s="39" t="s">
        <v>6</v>
      </c>
      <c r="F135" s="65" t="s">
        <v>7</v>
      </c>
      <c r="G135" s="39" t="s">
        <v>68</v>
      </c>
      <c r="H135" s="39" t="s">
        <v>8</v>
      </c>
      <c r="I135" s="43" t="s">
        <v>65</v>
      </c>
      <c r="K135" s="43" t="s">
        <v>71</v>
      </c>
      <c r="L135" s="43" t="s">
        <v>73</v>
      </c>
      <c r="M135" s="89" t="s">
        <v>75</v>
      </c>
      <c r="N135" s="43" t="s">
        <v>76</v>
      </c>
      <c r="P135" s="142" t="s">
        <v>92</v>
      </c>
      <c r="Q135" s="143"/>
      <c r="R135" s="143"/>
      <c r="S135" s="143"/>
      <c r="T135" s="143"/>
      <c r="U135" s="144"/>
    </row>
    <row r="136" spans="1:21" ht="12" thickBot="1" x14ac:dyDescent="0.25">
      <c r="A136" s="40"/>
      <c r="B136" s="41" t="s">
        <v>9</v>
      </c>
      <c r="C136" s="48" t="s">
        <v>10</v>
      </c>
      <c r="D136" s="41" t="s">
        <v>91</v>
      </c>
      <c r="E136" s="41" t="s">
        <v>67</v>
      </c>
      <c r="F136" s="73" t="s">
        <v>12</v>
      </c>
      <c r="G136" s="41" t="s">
        <v>69</v>
      </c>
      <c r="H136" s="41" t="s">
        <v>70</v>
      </c>
      <c r="I136" s="44" t="s">
        <v>66</v>
      </c>
      <c r="K136" s="44" t="s">
        <v>72</v>
      </c>
      <c r="L136" s="44" t="s">
        <v>74</v>
      </c>
      <c r="M136" s="90" t="s">
        <v>69</v>
      </c>
      <c r="N136" s="44" t="s">
        <v>77</v>
      </c>
      <c r="P136" s="121" t="s">
        <v>93</v>
      </c>
      <c r="Q136" s="122" t="s">
        <v>94</v>
      </c>
      <c r="R136" s="122" t="s">
        <v>95</v>
      </c>
      <c r="S136" s="130" t="s">
        <v>106</v>
      </c>
      <c r="T136" s="130" t="s">
        <v>96</v>
      </c>
      <c r="U136" s="134" t="s">
        <v>97</v>
      </c>
    </row>
    <row r="137" spans="1:21" ht="12.75" x14ac:dyDescent="0.2">
      <c r="A137" s="91" t="s">
        <v>14</v>
      </c>
      <c r="B137" s="92">
        <v>866666</v>
      </c>
      <c r="C137" s="93">
        <f>97587+5200+60667-867</f>
        <v>162587</v>
      </c>
      <c r="D137" s="113">
        <f>B137*0.1%</f>
        <v>866.66600000000005</v>
      </c>
      <c r="E137" s="109">
        <f>B137-C137</f>
        <v>704079</v>
      </c>
      <c r="F137" s="125">
        <v>1.036</v>
      </c>
      <c r="G137" s="94">
        <f t="shared" ref="G137:G148" si="39">B137*F137</f>
        <v>897865.97600000002</v>
      </c>
      <c r="H137" s="99">
        <f t="shared" ref="H137:H148" si="40">E137*F137</f>
        <v>729425.84400000004</v>
      </c>
      <c r="I137" s="98">
        <f>P137+Q137+R137+T137+U137</f>
        <v>50873.665999999997</v>
      </c>
      <c r="K137" s="97">
        <f>C137+I137</f>
        <v>213460.666</v>
      </c>
      <c r="L137" s="96">
        <v>0</v>
      </c>
      <c r="M137" s="96">
        <f>L137*F137</f>
        <v>0</v>
      </c>
      <c r="N137" s="96">
        <v>0</v>
      </c>
      <c r="P137" s="96">
        <v>13347</v>
      </c>
      <c r="Q137" s="96">
        <v>20800</v>
      </c>
      <c r="R137" s="96">
        <v>8060</v>
      </c>
      <c r="S137" s="131"/>
      <c r="T137" s="131">
        <v>7800</v>
      </c>
      <c r="U137" s="97">
        <f>D137</f>
        <v>866.66600000000005</v>
      </c>
    </row>
    <row r="138" spans="1:21" ht="12.75" x14ac:dyDescent="0.2">
      <c r="A138" s="91" t="s">
        <v>15</v>
      </c>
      <c r="B138" s="93">
        <v>1000000</v>
      </c>
      <c r="C138" s="93">
        <f>112600+6000+70000-1000</f>
        <v>187600</v>
      </c>
      <c r="D138" s="113">
        <f t="shared" ref="D138:D148" si="41">B138*0.1%</f>
        <v>1000</v>
      </c>
      <c r="E138" s="110">
        <f>B138-C138</f>
        <v>812400</v>
      </c>
      <c r="F138" s="126">
        <v>1.026</v>
      </c>
      <c r="G138" s="94">
        <f t="shared" si="39"/>
        <v>1026000</v>
      </c>
      <c r="H138" s="99">
        <f t="shared" si="40"/>
        <v>833522.4</v>
      </c>
      <c r="I138" s="98">
        <f t="shared" ref="I138:I146" si="42">+P138+Q138+R138+T138</f>
        <v>57700</v>
      </c>
      <c r="K138" s="97">
        <f t="shared" ref="K138:K148" si="43">C138+I138</f>
        <v>245300</v>
      </c>
      <c r="L138" s="98">
        <v>0</v>
      </c>
      <c r="M138" s="96">
        <f t="shared" ref="M138:M148" si="44">L138*F138</f>
        <v>0</v>
      </c>
      <c r="N138" s="98">
        <v>0</v>
      </c>
      <c r="P138" s="98">
        <v>15400</v>
      </c>
      <c r="Q138" s="98">
        <v>24000</v>
      </c>
      <c r="R138" s="98">
        <v>9300</v>
      </c>
      <c r="S138" s="132"/>
      <c r="T138" s="132">
        <v>9000</v>
      </c>
      <c r="U138" s="97">
        <f t="shared" ref="U138:U148" si="45">D138</f>
        <v>1000</v>
      </c>
    </row>
    <row r="139" spans="1:21" ht="12.75" x14ac:dyDescent="0.2">
      <c r="A139" s="91" t="s">
        <v>16</v>
      </c>
      <c r="B139" s="99">
        <v>1000000</v>
      </c>
      <c r="C139" s="99">
        <f>112600+6000+70000-1000</f>
        <v>187600</v>
      </c>
      <c r="D139" s="113">
        <f t="shared" si="41"/>
        <v>1000</v>
      </c>
      <c r="E139" s="110">
        <f t="shared" ref="E139:E148" si="46">B139-C139</f>
        <v>812400</v>
      </c>
      <c r="F139" s="126">
        <v>1.022</v>
      </c>
      <c r="G139" s="94">
        <f t="shared" si="39"/>
        <v>1022000</v>
      </c>
      <c r="H139" s="99">
        <f t="shared" si="40"/>
        <v>830272.8</v>
      </c>
      <c r="I139" s="98">
        <f t="shared" si="42"/>
        <v>57700</v>
      </c>
      <c r="K139" s="97">
        <f t="shared" si="43"/>
        <v>245300</v>
      </c>
      <c r="L139" s="98">
        <v>0</v>
      </c>
      <c r="M139" s="96">
        <f t="shared" si="44"/>
        <v>0</v>
      </c>
      <c r="N139" s="98">
        <v>0</v>
      </c>
      <c r="P139" s="98">
        <v>15400</v>
      </c>
      <c r="Q139" s="98">
        <v>24000</v>
      </c>
      <c r="R139" s="98">
        <v>9300</v>
      </c>
      <c r="S139" s="132"/>
      <c r="T139" s="132">
        <v>9000</v>
      </c>
      <c r="U139" s="97">
        <f t="shared" si="45"/>
        <v>1000</v>
      </c>
    </row>
    <row r="140" spans="1:21" ht="12.75" x14ac:dyDescent="0.2">
      <c r="A140" s="91" t="s">
        <v>17</v>
      </c>
      <c r="B140" s="99">
        <v>1000000</v>
      </c>
      <c r="C140" s="99">
        <f>112600+6000+70000-1000</f>
        <v>187600</v>
      </c>
      <c r="D140" s="113">
        <f t="shared" si="41"/>
        <v>1000</v>
      </c>
      <c r="E140" s="110">
        <f t="shared" si="46"/>
        <v>812400</v>
      </c>
      <c r="F140" s="126">
        <v>1.016</v>
      </c>
      <c r="G140" s="94">
        <f t="shared" si="39"/>
        <v>1016000</v>
      </c>
      <c r="H140" s="99">
        <f t="shared" si="40"/>
        <v>825398.4</v>
      </c>
      <c r="I140" s="98">
        <f t="shared" si="42"/>
        <v>58500</v>
      </c>
      <c r="K140" s="97">
        <f t="shared" si="43"/>
        <v>246100</v>
      </c>
      <c r="L140" s="98">
        <v>0</v>
      </c>
      <c r="M140" s="96">
        <f t="shared" si="44"/>
        <v>0</v>
      </c>
      <c r="N140" s="98">
        <v>0</v>
      </c>
      <c r="P140" s="98">
        <v>16200</v>
      </c>
      <c r="Q140" s="98">
        <v>24000</v>
      </c>
      <c r="R140" s="98">
        <v>9300</v>
      </c>
      <c r="S140" s="132"/>
      <c r="T140" s="132">
        <v>9000</v>
      </c>
      <c r="U140" s="97">
        <f t="shared" si="45"/>
        <v>1000</v>
      </c>
    </row>
    <row r="141" spans="1:21" ht="12.75" x14ac:dyDescent="0.2">
      <c r="A141" s="91" t="s">
        <v>18</v>
      </c>
      <c r="B141" s="99">
        <v>966666</v>
      </c>
      <c r="C141" s="93">
        <f>108847+5800+67667-D141</f>
        <v>181347.334</v>
      </c>
      <c r="D141" s="113">
        <f t="shared" si="41"/>
        <v>966.66600000000005</v>
      </c>
      <c r="E141" s="110">
        <f t="shared" si="46"/>
        <v>785318.66599999997</v>
      </c>
      <c r="F141" s="126">
        <v>1.014</v>
      </c>
      <c r="G141" s="94">
        <f t="shared" si="39"/>
        <v>980199.32400000002</v>
      </c>
      <c r="H141" s="99">
        <f t="shared" si="40"/>
        <v>796313.127324</v>
      </c>
      <c r="I141" s="98">
        <f t="shared" si="42"/>
        <v>56550</v>
      </c>
      <c r="K141" s="97">
        <f t="shared" si="43"/>
        <v>237897.334</v>
      </c>
      <c r="L141" s="98">
        <v>0</v>
      </c>
      <c r="M141" s="96">
        <f t="shared" si="44"/>
        <v>0</v>
      </c>
      <c r="N141" s="98">
        <v>0</v>
      </c>
      <c r="P141" s="98">
        <v>15660</v>
      </c>
      <c r="Q141" s="98">
        <v>23200</v>
      </c>
      <c r="R141" s="98">
        <v>8990</v>
      </c>
      <c r="S141" s="132"/>
      <c r="T141" s="132">
        <v>8700</v>
      </c>
      <c r="U141" s="97">
        <f t="shared" si="45"/>
        <v>966.66600000000005</v>
      </c>
    </row>
    <row r="142" spans="1:21" ht="12.75" x14ac:dyDescent="0.2">
      <c r="A142" s="91" t="s">
        <v>19</v>
      </c>
      <c r="B142" s="93">
        <v>1000000</v>
      </c>
      <c r="C142" s="93">
        <f>112600+6000+70000-D142</f>
        <v>187600</v>
      </c>
      <c r="D142" s="113">
        <f t="shared" si="41"/>
        <v>1000</v>
      </c>
      <c r="E142" s="110">
        <f t="shared" si="46"/>
        <v>812400</v>
      </c>
      <c r="F142" s="126">
        <v>1.012</v>
      </c>
      <c r="G142" s="94">
        <f t="shared" si="39"/>
        <v>1012000</v>
      </c>
      <c r="H142" s="99">
        <f t="shared" si="40"/>
        <v>822148.8</v>
      </c>
      <c r="I142" s="98">
        <f t="shared" si="42"/>
        <v>58500</v>
      </c>
      <c r="K142" s="97">
        <f t="shared" si="43"/>
        <v>246100</v>
      </c>
      <c r="L142" s="98">
        <v>0</v>
      </c>
      <c r="M142" s="96">
        <f t="shared" si="44"/>
        <v>0</v>
      </c>
      <c r="N142" s="98">
        <v>0</v>
      </c>
      <c r="P142" s="98">
        <v>16200</v>
      </c>
      <c r="Q142" s="98">
        <v>24000</v>
      </c>
      <c r="R142" s="98">
        <v>9300</v>
      </c>
      <c r="S142" s="132"/>
      <c r="T142" s="132">
        <v>9000</v>
      </c>
      <c r="U142" s="97">
        <f t="shared" si="45"/>
        <v>1000</v>
      </c>
    </row>
    <row r="143" spans="1:21" ht="12.75" x14ac:dyDescent="0.2">
      <c r="A143" s="91" t="s">
        <v>20</v>
      </c>
      <c r="B143" s="93">
        <v>1000000</v>
      </c>
      <c r="C143" s="93">
        <f>112600+6000+70000-D143</f>
        <v>187600</v>
      </c>
      <c r="D143" s="113">
        <f t="shared" si="41"/>
        <v>1000</v>
      </c>
      <c r="E143" s="110">
        <f t="shared" si="46"/>
        <v>812400</v>
      </c>
      <c r="F143" s="126">
        <v>1.0169999999999999</v>
      </c>
      <c r="G143" s="94">
        <f t="shared" si="39"/>
        <v>1016999.9999999999</v>
      </c>
      <c r="H143" s="99">
        <f t="shared" si="40"/>
        <v>826210.79999999993</v>
      </c>
      <c r="I143" s="98">
        <f t="shared" si="42"/>
        <v>62300</v>
      </c>
      <c r="K143" s="97">
        <f t="shared" si="43"/>
        <v>249900</v>
      </c>
      <c r="L143" s="98">
        <v>0</v>
      </c>
      <c r="M143" s="96">
        <f t="shared" si="44"/>
        <v>0</v>
      </c>
      <c r="N143" s="98">
        <v>0</v>
      </c>
      <c r="P143" s="98">
        <v>20000</v>
      </c>
      <c r="Q143" s="98">
        <v>24000</v>
      </c>
      <c r="R143" s="98">
        <v>9300</v>
      </c>
      <c r="S143" s="132"/>
      <c r="T143" s="132">
        <v>9000</v>
      </c>
      <c r="U143" s="97">
        <f t="shared" si="45"/>
        <v>1000</v>
      </c>
    </row>
    <row r="144" spans="1:21" ht="12.75" x14ac:dyDescent="0.2">
      <c r="A144" s="91" t="s">
        <v>21</v>
      </c>
      <c r="B144" s="93"/>
      <c r="C144" s="93"/>
      <c r="D144" s="113">
        <f t="shared" si="41"/>
        <v>0</v>
      </c>
      <c r="E144" s="110">
        <f t="shared" si="46"/>
        <v>0</v>
      </c>
      <c r="F144" s="126">
        <v>1.008</v>
      </c>
      <c r="G144" s="94">
        <f t="shared" si="39"/>
        <v>0</v>
      </c>
      <c r="H144" s="99">
        <f t="shared" si="40"/>
        <v>0</v>
      </c>
      <c r="I144" s="98">
        <f t="shared" si="42"/>
        <v>0</v>
      </c>
      <c r="K144" s="97">
        <f t="shared" si="43"/>
        <v>0</v>
      </c>
      <c r="L144" s="98">
        <v>0</v>
      </c>
      <c r="M144" s="96">
        <f t="shared" si="44"/>
        <v>0</v>
      </c>
      <c r="N144" s="98">
        <v>0</v>
      </c>
      <c r="P144" s="98"/>
      <c r="Q144" s="98"/>
      <c r="R144" s="98"/>
      <c r="S144" s="132"/>
      <c r="T144" s="132"/>
      <c r="U144" s="97">
        <f t="shared" si="45"/>
        <v>0</v>
      </c>
    </row>
    <row r="145" spans="1:21" ht="12.75" x14ac:dyDescent="0.2">
      <c r="A145" s="91" t="s">
        <v>22</v>
      </c>
      <c r="B145" s="93"/>
      <c r="C145" s="93"/>
      <c r="D145" s="113">
        <f t="shared" si="41"/>
        <v>0</v>
      </c>
      <c r="E145" s="110">
        <f t="shared" si="46"/>
        <v>0</v>
      </c>
      <c r="F145" s="126">
        <v>1.0069999999999999</v>
      </c>
      <c r="G145" s="94">
        <f t="shared" si="39"/>
        <v>0</v>
      </c>
      <c r="H145" s="99">
        <f t="shared" si="40"/>
        <v>0</v>
      </c>
      <c r="I145" s="98">
        <f t="shared" si="42"/>
        <v>0</v>
      </c>
      <c r="K145" s="97">
        <f t="shared" si="43"/>
        <v>0</v>
      </c>
      <c r="L145" s="98">
        <v>0</v>
      </c>
      <c r="M145" s="96">
        <f t="shared" si="44"/>
        <v>0</v>
      </c>
      <c r="N145" s="98">
        <v>0</v>
      </c>
      <c r="P145" s="98"/>
      <c r="Q145" s="98"/>
      <c r="R145" s="98"/>
      <c r="S145" s="132"/>
      <c r="T145" s="132"/>
      <c r="U145" s="97">
        <f t="shared" si="45"/>
        <v>0</v>
      </c>
    </row>
    <row r="146" spans="1:21" ht="12.75" x14ac:dyDescent="0.2">
      <c r="A146" s="91" t="s">
        <v>23</v>
      </c>
      <c r="B146" s="93"/>
      <c r="C146" s="93"/>
      <c r="D146" s="113">
        <f t="shared" si="41"/>
        <v>0</v>
      </c>
      <c r="E146" s="110">
        <f t="shared" si="46"/>
        <v>0</v>
      </c>
      <c r="F146" s="126">
        <v>1.0029999999999999</v>
      </c>
      <c r="G146" s="94">
        <f t="shared" si="39"/>
        <v>0</v>
      </c>
      <c r="H146" s="99">
        <f t="shared" si="40"/>
        <v>0</v>
      </c>
      <c r="I146" s="98">
        <f t="shared" si="42"/>
        <v>0</v>
      </c>
      <c r="K146" s="97">
        <f t="shared" si="43"/>
        <v>0</v>
      </c>
      <c r="L146" s="98">
        <v>0</v>
      </c>
      <c r="M146" s="96">
        <f t="shared" si="44"/>
        <v>0</v>
      </c>
      <c r="N146" s="98">
        <v>0</v>
      </c>
      <c r="P146" s="98"/>
      <c r="Q146" s="98"/>
      <c r="R146" s="98"/>
      <c r="S146" s="132"/>
      <c r="T146" s="132"/>
      <c r="U146" s="97">
        <f t="shared" si="45"/>
        <v>0</v>
      </c>
    </row>
    <row r="147" spans="1:21" ht="12.75" x14ac:dyDescent="0.2">
      <c r="A147" s="91" t="s">
        <v>24</v>
      </c>
      <c r="B147" s="93"/>
      <c r="C147" s="93"/>
      <c r="D147" s="113">
        <f t="shared" si="41"/>
        <v>0</v>
      </c>
      <c r="E147" s="110">
        <f t="shared" si="46"/>
        <v>0</v>
      </c>
      <c r="F147" s="126">
        <v>1.0029999999999999</v>
      </c>
      <c r="G147" s="94">
        <f t="shared" si="39"/>
        <v>0</v>
      </c>
      <c r="H147" s="99">
        <f t="shared" si="40"/>
        <v>0</v>
      </c>
      <c r="I147" s="98">
        <f>+P147+Q147+R147+T147</f>
        <v>0</v>
      </c>
      <c r="K147" s="97">
        <f t="shared" si="43"/>
        <v>0</v>
      </c>
      <c r="L147" s="98">
        <v>0</v>
      </c>
      <c r="M147" s="96">
        <f t="shared" si="44"/>
        <v>0</v>
      </c>
      <c r="N147" s="98">
        <v>0</v>
      </c>
      <c r="P147" s="98"/>
      <c r="Q147" s="98"/>
      <c r="R147" s="98"/>
      <c r="S147" s="132"/>
      <c r="T147" s="132"/>
      <c r="U147" s="97">
        <f t="shared" si="45"/>
        <v>0</v>
      </c>
    </row>
    <row r="148" spans="1:21" ht="13.5" thickBot="1" x14ac:dyDescent="0.25">
      <c r="A148" s="100" t="s">
        <v>25</v>
      </c>
      <c r="B148" s="93"/>
      <c r="C148" s="93"/>
      <c r="D148" s="113">
        <f t="shared" si="41"/>
        <v>0</v>
      </c>
      <c r="E148" s="110">
        <f t="shared" si="46"/>
        <v>0</v>
      </c>
      <c r="F148" s="127">
        <v>1</v>
      </c>
      <c r="G148" s="94">
        <f t="shared" si="39"/>
        <v>0</v>
      </c>
      <c r="H148" s="99">
        <f t="shared" si="40"/>
        <v>0</v>
      </c>
      <c r="I148" s="98">
        <f>+P148+Q148+R148+T148</f>
        <v>0</v>
      </c>
      <c r="K148" s="97">
        <f t="shared" si="43"/>
        <v>0</v>
      </c>
      <c r="L148" s="101">
        <v>0</v>
      </c>
      <c r="M148" s="96">
        <f t="shared" si="44"/>
        <v>0</v>
      </c>
      <c r="N148" s="101">
        <v>0</v>
      </c>
      <c r="P148" s="101"/>
      <c r="Q148" s="101"/>
      <c r="R148" s="101"/>
      <c r="S148" s="133"/>
      <c r="T148" s="133"/>
      <c r="U148" s="97">
        <f t="shared" si="45"/>
        <v>0</v>
      </c>
    </row>
    <row r="149" spans="1:21" ht="12" thickBot="1" x14ac:dyDescent="0.25">
      <c r="A149" s="81" t="s">
        <v>26</v>
      </c>
      <c r="B149" s="102">
        <f>SUM(B137:B148)</f>
        <v>6833332</v>
      </c>
      <c r="C149" s="103">
        <f>SUM(C137:C148)</f>
        <v>1281934.334</v>
      </c>
      <c r="D149" s="102">
        <f>SUM(D137:D148)</f>
        <v>6833.3320000000003</v>
      </c>
      <c r="E149" s="102">
        <f>SUM(E137:E148)</f>
        <v>5551397.6660000002</v>
      </c>
      <c r="F149" s="51"/>
      <c r="G149" s="102">
        <f>SUM(G137:G148)</f>
        <v>6971065.2999999998</v>
      </c>
      <c r="H149" s="102">
        <f>SUM(H137:H148)</f>
        <v>5663292.1713239998</v>
      </c>
      <c r="I149" s="105">
        <f>SUM(I137:I148)</f>
        <v>402123.66599999997</v>
      </c>
      <c r="K149" s="105">
        <f>SUM(K137:K148)</f>
        <v>1684058</v>
      </c>
      <c r="L149" s="105">
        <f>SUM(L137:L148)</f>
        <v>0</v>
      </c>
      <c r="M149" s="105">
        <f>SUM(M137:M148)</f>
        <v>0</v>
      </c>
      <c r="N149" s="105">
        <f>SUM(N137:N148)</f>
        <v>0</v>
      </c>
      <c r="P149" s="120">
        <f>SUM(P137:P148)</f>
        <v>112207</v>
      </c>
      <c r="Q149" s="120">
        <f>SUM(Q137:Q148)</f>
        <v>164000</v>
      </c>
      <c r="R149" s="120">
        <f>SUM(R137:R148)</f>
        <v>63550</v>
      </c>
      <c r="S149" s="120"/>
      <c r="T149" s="120">
        <f>SUM(T137:T148)</f>
        <v>61500</v>
      </c>
      <c r="U149" s="120">
        <f>SUM(U137:U148)</f>
        <v>6833.3320000000003</v>
      </c>
    </row>
    <row r="152" spans="1:21" ht="12" thickBot="1" x14ac:dyDescent="0.25"/>
    <row r="153" spans="1:21" ht="12" thickBot="1" x14ac:dyDescent="0.25">
      <c r="A153" s="63" t="s">
        <v>27</v>
      </c>
      <c r="B153" s="64" t="s">
        <v>78</v>
      </c>
      <c r="C153" s="64"/>
      <c r="D153" s="64"/>
      <c r="E153" s="84"/>
      <c r="G153" s="62"/>
      <c r="K153" s="85"/>
      <c r="N153" s="60">
        <v>6</v>
      </c>
    </row>
    <row r="154" spans="1:21" ht="12" thickBot="1" x14ac:dyDescent="0.25">
      <c r="A154" s="86" t="s">
        <v>1</v>
      </c>
      <c r="B154" s="108" t="s">
        <v>79</v>
      </c>
      <c r="C154" s="87"/>
      <c r="D154" s="116"/>
      <c r="E154" s="70"/>
      <c r="F154" s="77"/>
      <c r="G154" s="78"/>
      <c r="H154" s="79"/>
    </row>
    <row r="155" spans="1:21" ht="12" thickBot="1" x14ac:dyDescent="0.25">
      <c r="A155" s="88" t="s">
        <v>3</v>
      </c>
      <c r="B155" s="39" t="s">
        <v>4</v>
      </c>
      <c r="C155" s="77" t="s">
        <v>5</v>
      </c>
      <c r="D155" s="39" t="s">
        <v>90</v>
      </c>
      <c r="E155" s="114" t="s">
        <v>6</v>
      </c>
      <c r="F155" s="65" t="s">
        <v>7</v>
      </c>
      <c r="G155" s="39" t="s">
        <v>68</v>
      </c>
      <c r="H155" s="39" t="s">
        <v>8</v>
      </c>
      <c r="I155" s="43" t="s">
        <v>65</v>
      </c>
      <c r="K155" s="43" t="s">
        <v>71</v>
      </c>
      <c r="L155" s="43" t="s">
        <v>73</v>
      </c>
      <c r="M155" s="89" t="s">
        <v>75</v>
      </c>
      <c r="N155" s="43" t="s">
        <v>76</v>
      </c>
      <c r="P155" s="142" t="s">
        <v>92</v>
      </c>
      <c r="Q155" s="143"/>
      <c r="R155" s="143"/>
      <c r="S155" s="143"/>
      <c r="T155" s="143"/>
      <c r="U155" s="144"/>
    </row>
    <row r="156" spans="1:21" ht="12" thickBot="1" x14ac:dyDescent="0.25">
      <c r="A156" s="40"/>
      <c r="B156" s="41" t="s">
        <v>9</v>
      </c>
      <c r="C156" s="48" t="s">
        <v>10</v>
      </c>
      <c r="D156" s="41" t="s">
        <v>91</v>
      </c>
      <c r="E156" s="129" t="s">
        <v>67</v>
      </c>
      <c r="F156" s="73" t="s">
        <v>12</v>
      </c>
      <c r="G156" s="41" t="s">
        <v>69</v>
      </c>
      <c r="H156" s="41" t="s">
        <v>70</v>
      </c>
      <c r="I156" s="44" t="s">
        <v>66</v>
      </c>
      <c r="K156" s="44" t="s">
        <v>72</v>
      </c>
      <c r="L156" s="44" t="s">
        <v>74</v>
      </c>
      <c r="M156" s="90" t="s">
        <v>69</v>
      </c>
      <c r="N156" s="44" t="s">
        <v>77</v>
      </c>
      <c r="P156" s="121" t="s">
        <v>93</v>
      </c>
      <c r="Q156" s="122" t="s">
        <v>94</v>
      </c>
      <c r="R156" s="122" t="s">
        <v>95</v>
      </c>
      <c r="S156" s="130" t="s">
        <v>106</v>
      </c>
      <c r="T156" s="130" t="s">
        <v>96</v>
      </c>
      <c r="U156" s="134" t="s">
        <v>97</v>
      </c>
    </row>
    <row r="157" spans="1:21" ht="12.75" x14ac:dyDescent="0.2">
      <c r="A157" s="91" t="s">
        <v>14</v>
      </c>
      <c r="B157" s="92">
        <v>651291</v>
      </c>
      <c r="C157" s="93">
        <f>75159+3908+45590-651</f>
        <v>124006</v>
      </c>
      <c r="D157" s="113">
        <f>B157*0.1%</f>
        <v>651.29100000000005</v>
      </c>
      <c r="E157" s="93">
        <f>B157-C157+N157</f>
        <v>554295</v>
      </c>
      <c r="F157" s="125">
        <v>1.036</v>
      </c>
      <c r="G157" s="94">
        <f t="shared" ref="G157:G168" si="47">B157*F157</f>
        <v>674737.47600000002</v>
      </c>
      <c r="H157" s="99">
        <f t="shared" ref="H157:H168" si="48">E157*F157</f>
        <v>574249.62</v>
      </c>
      <c r="I157" s="98">
        <f>P157+Q157+R157+T157+U157</f>
        <v>38231.290999999997</v>
      </c>
      <c r="K157" s="97">
        <f>C157+I157+-N157</f>
        <v>135227.291</v>
      </c>
      <c r="L157" s="96">
        <v>0</v>
      </c>
      <c r="M157" s="96">
        <f>L157*F157</f>
        <v>0</v>
      </c>
      <c r="N157" s="96">
        <v>27010</v>
      </c>
      <c r="P157" s="96">
        <v>10030</v>
      </c>
      <c r="Q157" s="96">
        <v>15631</v>
      </c>
      <c r="R157" s="96">
        <v>6057</v>
      </c>
      <c r="S157" s="131"/>
      <c r="T157" s="131">
        <v>5862</v>
      </c>
      <c r="U157" s="97">
        <f>D157</f>
        <v>651.29100000000005</v>
      </c>
    </row>
    <row r="158" spans="1:21" ht="12.75" x14ac:dyDescent="0.2">
      <c r="A158" s="91" t="s">
        <v>15</v>
      </c>
      <c r="B158" s="93">
        <v>505313</v>
      </c>
      <c r="C158" s="93">
        <f>58313+3032+35372-505</f>
        <v>96212</v>
      </c>
      <c r="D158" s="113">
        <f t="shared" ref="D158:D168" si="49">B158*0.1%</f>
        <v>505.31299999999999</v>
      </c>
      <c r="E158" s="93">
        <f t="shared" ref="E158:E168" si="50">B158-C158+N158</f>
        <v>428908</v>
      </c>
      <c r="F158" s="126">
        <v>1.026</v>
      </c>
      <c r="G158" s="94">
        <f t="shared" si="47"/>
        <v>518451.13800000004</v>
      </c>
      <c r="H158" s="99">
        <f t="shared" si="48"/>
        <v>440059.60800000001</v>
      </c>
      <c r="I158" s="98">
        <f t="shared" ref="I158:I168" si="51">P158+Q158+R158+T158+U158</f>
        <v>29662.312999999998</v>
      </c>
      <c r="K158" s="97">
        <f t="shared" ref="K158:K168" si="52">C158+I158+-N158</f>
        <v>106067.31299999999</v>
      </c>
      <c r="L158" s="98">
        <v>0</v>
      </c>
      <c r="M158" s="96">
        <f t="shared" ref="M158:M168" si="53">L158*F158</f>
        <v>0</v>
      </c>
      <c r="N158" s="98">
        <v>19807</v>
      </c>
      <c r="P158" s="98">
        <v>7782</v>
      </c>
      <c r="Q158" s="98">
        <v>12128</v>
      </c>
      <c r="R158" s="98">
        <v>4699</v>
      </c>
      <c r="S158" s="132"/>
      <c r="T158" s="132">
        <v>4548</v>
      </c>
      <c r="U158" s="97">
        <f t="shared" ref="U158:U168" si="54">D158</f>
        <v>505.31299999999999</v>
      </c>
    </row>
    <row r="159" spans="1:21" ht="12.75" x14ac:dyDescent="0.2">
      <c r="A159" s="91" t="s">
        <v>16</v>
      </c>
      <c r="B159" s="99">
        <v>0</v>
      </c>
      <c r="C159" s="99">
        <v>0</v>
      </c>
      <c r="D159" s="113">
        <f t="shared" si="49"/>
        <v>0</v>
      </c>
      <c r="E159" s="93">
        <f t="shared" si="50"/>
        <v>0</v>
      </c>
      <c r="F159" s="126">
        <v>1.022</v>
      </c>
      <c r="G159" s="94">
        <f t="shared" si="47"/>
        <v>0</v>
      </c>
      <c r="H159" s="99">
        <f t="shared" si="48"/>
        <v>0</v>
      </c>
      <c r="I159" s="98">
        <f t="shared" si="51"/>
        <v>0</v>
      </c>
      <c r="K159" s="97">
        <f t="shared" si="52"/>
        <v>0</v>
      </c>
      <c r="L159" s="98">
        <v>0</v>
      </c>
      <c r="M159" s="96">
        <f t="shared" si="53"/>
        <v>0</v>
      </c>
      <c r="N159" s="98">
        <v>0</v>
      </c>
      <c r="P159" s="98">
        <v>0</v>
      </c>
      <c r="Q159" s="98">
        <v>0</v>
      </c>
      <c r="R159" s="98">
        <v>0</v>
      </c>
      <c r="S159" s="132"/>
      <c r="T159" s="132">
        <v>0</v>
      </c>
      <c r="U159" s="97">
        <f t="shared" si="54"/>
        <v>0</v>
      </c>
    </row>
    <row r="160" spans="1:21" ht="12.75" x14ac:dyDescent="0.2">
      <c r="A160" s="91" t="s">
        <v>17</v>
      </c>
      <c r="B160" s="99">
        <v>0</v>
      </c>
      <c r="C160" s="99">
        <v>0</v>
      </c>
      <c r="D160" s="113">
        <f t="shared" si="49"/>
        <v>0</v>
      </c>
      <c r="E160" s="93">
        <f t="shared" si="50"/>
        <v>0</v>
      </c>
      <c r="F160" s="126">
        <v>1.016</v>
      </c>
      <c r="G160" s="94">
        <f t="shared" si="47"/>
        <v>0</v>
      </c>
      <c r="H160" s="99">
        <f t="shared" si="48"/>
        <v>0</v>
      </c>
      <c r="I160" s="98">
        <f t="shared" si="51"/>
        <v>0</v>
      </c>
      <c r="K160" s="97">
        <f t="shared" si="52"/>
        <v>0</v>
      </c>
      <c r="L160" s="98">
        <v>0</v>
      </c>
      <c r="M160" s="96">
        <f t="shared" si="53"/>
        <v>0</v>
      </c>
      <c r="N160" s="98">
        <v>0</v>
      </c>
      <c r="P160" s="98">
        <v>0</v>
      </c>
      <c r="Q160" s="98">
        <v>0</v>
      </c>
      <c r="R160" s="98">
        <v>0</v>
      </c>
      <c r="S160" s="132"/>
      <c r="T160" s="132">
        <v>0</v>
      </c>
      <c r="U160" s="97">
        <f t="shared" si="54"/>
        <v>0</v>
      </c>
    </row>
    <row r="161" spans="1:21" ht="12.75" x14ac:dyDescent="0.2">
      <c r="A161" s="91" t="s">
        <v>18</v>
      </c>
      <c r="B161" s="99">
        <v>0</v>
      </c>
      <c r="C161" s="93">
        <v>0</v>
      </c>
      <c r="D161" s="113">
        <f t="shared" si="49"/>
        <v>0</v>
      </c>
      <c r="E161" s="93">
        <f t="shared" si="50"/>
        <v>0</v>
      </c>
      <c r="F161" s="126">
        <v>1.014</v>
      </c>
      <c r="G161" s="94">
        <f t="shared" si="47"/>
        <v>0</v>
      </c>
      <c r="H161" s="99">
        <f t="shared" si="48"/>
        <v>0</v>
      </c>
      <c r="I161" s="98">
        <f t="shared" si="51"/>
        <v>0</v>
      </c>
      <c r="K161" s="97">
        <f t="shared" si="52"/>
        <v>0</v>
      </c>
      <c r="L161" s="98">
        <v>0</v>
      </c>
      <c r="M161" s="96">
        <f t="shared" si="53"/>
        <v>0</v>
      </c>
      <c r="N161" s="98">
        <v>0</v>
      </c>
      <c r="P161" s="98">
        <v>0</v>
      </c>
      <c r="Q161" s="98">
        <v>0</v>
      </c>
      <c r="R161" s="98">
        <v>0</v>
      </c>
      <c r="S161" s="132"/>
      <c r="T161" s="132">
        <v>0</v>
      </c>
      <c r="U161" s="97">
        <f t="shared" si="54"/>
        <v>0</v>
      </c>
    </row>
    <row r="162" spans="1:21" ht="12.75" x14ac:dyDescent="0.2">
      <c r="A162" s="91" t="s">
        <v>19</v>
      </c>
      <c r="B162" s="93">
        <v>0</v>
      </c>
      <c r="C162" s="93">
        <v>0</v>
      </c>
      <c r="D162" s="113">
        <f t="shared" si="49"/>
        <v>0</v>
      </c>
      <c r="E162" s="93">
        <f t="shared" si="50"/>
        <v>0</v>
      </c>
      <c r="F162" s="126">
        <v>1.012</v>
      </c>
      <c r="G162" s="94">
        <f t="shared" si="47"/>
        <v>0</v>
      </c>
      <c r="H162" s="99">
        <f t="shared" si="48"/>
        <v>0</v>
      </c>
      <c r="I162" s="98">
        <f t="shared" si="51"/>
        <v>0</v>
      </c>
      <c r="K162" s="97">
        <f t="shared" si="52"/>
        <v>0</v>
      </c>
      <c r="L162" s="98">
        <v>0</v>
      </c>
      <c r="M162" s="96">
        <f t="shared" si="53"/>
        <v>0</v>
      </c>
      <c r="N162" s="98">
        <v>0</v>
      </c>
      <c r="P162" s="98">
        <v>0</v>
      </c>
      <c r="Q162" s="98">
        <v>0</v>
      </c>
      <c r="R162" s="98">
        <v>0</v>
      </c>
      <c r="S162" s="132"/>
      <c r="T162" s="132">
        <v>0</v>
      </c>
      <c r="U162" s="97">
        <f t="shared" si="54"/>
        <v>0</v>
      </c>
    </row>
    <row r="163" spans="1:21" ht="12.75" x14ac:dyDescent="0.2">
      <c r="A163" s="91" t="s">
        <v>20</v>
      </c>
      <c r="B163" s="93">
        <v>0</v>
      </c>
      <c r="C163" s="93">
        <v>0</v>
      </c>
      <c r="D163" s="113">
        <f t="shared" si="49"/>
        <v>0</v>
      </c>
      <c r="E163" s="93">
        <f t="shared" si="50"/>
        <v>0</v>
      </c>
      <c r="F163" s="126">
        <v>1.0169999999999999</v>
      </c>
      <c r="G163" s="94">
        <f t="shared" si="47"/>
        <v>0</v>
      </c>
      <c r="H163" s="99">
        <f t="shared" si="48"/>
        <v>0</v>
      </c>
      <c r="I163" s="98">
        <f t="shared" si="51"/>
        <v>0</v>
      </c>
      <c r="K163" s="97">
        <f t="shared" si="52"/>
        <v>0</v>
      </c>
      <c r="L163" s="98">
        <v>0</v>
      </c>
      <c r="M163" s="96">
        <f t="shared" si="53"/>
        <v>0</v>
      </c>
      <c r="N163" s="98">
        <v>0</v>
      </c>
      <c r="P163" s="98">
        <v>0</v>
      </c>
      <c r="Q163" s="98">
        <v>0</v>
      </c>
      <c r="R163" s="98">
        <v>0</v>
      </c>
      <c r="S163" s="132"/>
      <c r="T163" s="132">
        <v>0</v>
      </c>
      <c r="U163" s="97">
        <f t="shared" si="54"/>
        <v>0</v>
      </c>
    </row>
    <row r="164" spans="1:21" ht="12.75" x14ac:dyDescent="0.2">
      <c r="A164" s="91" t="s">
        <v>21</v>
      </c>
      <c r="B164" s="93">
        <v>0</v>
      </c>
      <c r="C164" s="93">
        <v>0</v>
      </c>
      <c r="D164" s="113">
        <f t="shared" si="49"/>
        <v>0</v>
      </c>
      <c r="E164" s="93">
        <f t="shared" si="50"/>
        <v>0</v>
      </c>
      <c r="F164" s="126">
        <v>1.008</v>
      </c>
      <c r="G164" s="94">
        <f t="shared" si="47"/>
        <v>0</v>
      </c>
      <c r="H164" s="99">
        <f t="shared" si="48"/>
        <v>0</v>
      </c>
      <c r="I164" s="98">
        <f t="shared" si="51"/>
        <v>0</v>
      </c>
      <c r="K164" s="97">
        <f t="shared" si="52"/>
        <v>0</v>
      </c>
      <c r="L164" s="98">
        <v>0</v>
      </c>
      <c r="M164" s="96">
        <f t="shared" si="53"/>
        <v>0</v>
      </c>
      <c r="N164" s="98">
        <v>0</v>
      </c>
      <c r="P164" s="98">
        <v>0</v>
      </c>
      <c r="Q164" s="98">
        <v>0</v>
      </c>
      <c r="R164" s="98">
        <v>0</v>
      </c>
      <c r="S164" s="132"/>
      <c r="T164" s="132">
        <v>0</v>
      </c>
      <c r="U164" s="97">
        <f t="shared" si="54"/>
        <v>0</v>
      </c>
    </row>
    <row r="165" spans="1:21" ht="12.75" x14ac:dyDescent="0.2">
      <c r="A165" s="91" t="s">
        <v>22</v>
      </c>
      <c r="B165" s="93">
        <v>0</v>
      </c>
      <c r="C165" s="93">
        <v>0</v>
      </c>
      <c r="D165" s="113">
        <f t="shared" si="49"/>
        <v>0</v>
      </c>
      <c r="E165" s="93">
        <f t="shared" si="50"/>
        <v>0</v>
      </c>
      <c r="F165" s="126">
        <v>1.0069999999999999</v>
      </c>
      <c r="G165" s="94">
        <f t="shared" si="47"/>
        <v>0</v>
      </c>
      <c r="H165" s="99">
        <f t="shared" si="48"/>
        <v>0</v>
      </c>
      <c r="I165" s="98">
        <f t="shared" si="51"/>
        <v>0</v>
      </c>
      <c r="K165" s="97">
        <f t="shared" si="52"/>
        <v>0</v>
      </c>
      <c r="L165" s="98"/>
      <c r="M165" s="96">
        <f t="shared" si="53"/>
        <v>0</v>
      </c>
      <c r="N165" s="98">
        <v>0</v>
      </c>
      <c r="P165" s="98">
        <v>0</v>
      </c>
      <c r="Q165" s="98">
        <v>0</v>
      </c>
      <c r="R165" s="98">
        <v>0</v>
      </c>
      <c r="S165" s="132"/>
      <c r="T165" s="132">
        <v>0</v>
      </c>
      <c r="U165" s="97">
        <f t="shared" si="54"/>
        <v>0</v>
      </c>
    </row>
    <row r="166" spans="1:21" ht="12.75" x14ac:dyDescent="0.2">
      <c r="A166" s="91" t="s">
        <v>23</v>
      </c>
      <c r="B166" s="93">
        <v>0</v>
      </c>
      <c r="C166" s="93">
        <v>0</v>
      </c>
      <c r="D166" s="113">
        <f t="shared" si="49"/>
        <v>0</v>
      </c>
      <c r="E166" s="93">
        <f t="shared" si="50"/>
        <v>0</v>
      </c>
      <c r="F166" s="126">
        <v>1.0029999999999999</v>
      </c>
      <c r="G166" s="94">
        <f t="shared" si="47"/>
        <v>0</v>
      </c>
      <c r="H166" s="99">
        <f t="shared" si="48"/>
        <v>0</v>
      </c>
      <c r="I166" s="98">
        <f t="shared" si="51"/>
        <v>0</v>
      </c>
      <c r="K166" s="97">
        <f t="shared" si="52"/>
        <v>0</v>
      </c>
      <c r="L166" s="98">
        <v>0</v>
      </c>
      <c r="M166" s="96">
        <f t="shared" si="53"/>
        <v>0</v>
      </c>
      <c r="N166" s="98">
        <v>0</v>
      </c>
      <c r="P166" s="98">
        <v>0</v>
      </c>
      <c r="Q166" s="98">
        <v>0</v>
      </c>
      <c r="R166" s="98">
        <v>0</v>
      </c>
      <c r="S166" s="132"/>
      <c r="T166" s="132">
        <v>0</v>
      </c>
      <c r="U166" s="97">
        <f t="shared" si="54"/>
        <v>0</v>
      </c>
    </row>
    <row r="167" spans="1:21" ht="12.75" x14ac:dyDescent="0.2">
      <c r="A167" s="91" t="s">
        <v>24</v>
      </c>
      <c r="B167" s="93">
        <v>0</v>
      </c>
      <c r="C167" s="93">
        <v>0</v>
      </c>
      <c r="D167" s="113">
        <f t="shared" si="49"/>
        <v>0</v>
      </c>
      <c r="E167" s="93">
        <f t="shared" si="50"/>
        <v>0</v>
      </c>
      <c r="F167" s="126">
        <v>1.0029999999999999</v>
      </c>
      <c r="G167" s="94">
        <f t="shared" si="47"/>
        <v>0</v>
      </c>
      <c r="H167" s="99">
        <f t="shared" si="48"/>
        <v>0</v>
      </c>
      <c r="I167" s="98">
        <f t="shared" si="51"/>
        <v>0</v>
      </c>
      <c r="K167" s="97">
        <f t="shared" si="52"/>
        <v>0</v>
      </c>
      <c r="L167" s="98">
        <v>0</v>
      </c>
      <c r="M167" s="96">
        <f t="shared" si="53"/>
        <v>0</v>
      </c>
      <c r="N167" s="98">
        <v>0</v>
      </c>
      <c r="P167" s="98">
        <v>0</v>
      </c>
      <c r="Q167" s="98">
        <v>0</v>
      </c>
      <c r="R167" s="98">
        <v>0</v>
      </c>
      <c r="S167" s="132"/>
      <c r="T167" s="132">
        <v>0</v>
      </c>
      <c r="U167" s="97">
        <f t="shared" si="54"/>
        <v>0</v>
      </c>
    </row>
    <row r="168" spans="1:21" ht="13.5" thickBot="1" x14ac:dyDescent="0.25">
      <c r="A168" s="100" t="s">
        <v>25</v>
      </c>
      <c r="B168" s="93">
        <v>0</v>
      </c>
      <c r="C168" s="93">
        <v>0</v>
      </c>
      <c r="D168" s="113">
        <f t="shared" si="49"/>
        <v>0</v>
      </c>
      <c r="E168" s="93">
        <f t="shared" si="50"/>
        <v>0</v>
      </c>
      <c r="F168" s="127">
        <v>1</v>
      </c>
      <c r="G168" s="94">
        <f t="shared" si="47"/>
        <v>0</v>
      </c>
      <c r="H168" s="99">
        <f t="shared" si="48"/>
        <v>0</v>
      </c>
      <c r="I168" s="98">
        <f t="shared" si="51"/>
        <v>0</v>
      </c>
      <c r="K168" s="97">
        <f t="shared" si="52"/>
        <v>0</v>
      </c>
      <c r="L168" s="101">
        <v>0</v>
      </c>
      <c r="M168" s="96">
        <f t="shared" si="53"/>
        <v>0</v>
      </c>
      <c r="N168" s="101">
        <v>0</v>
      </c>
      <c r="P168" s="101">
        <v>0</v>
      </c>
      <c r="Q168" s="101">
        <v>0</v>
      </c>
      <c r="R168" s="101">
        <v>0</v>
      </c>
      <c r="S168" s="133"/>
      <c r="T168" s="133">
        <v>0</v>
      </c>
      <c r="U168" s="97">
        <f t="shared" si="54"/>
        <v>0</v>
      </c>
    </row>
    <row r="169" spans="1:21" ht="12" thickBot="1" x14ac:dyDescent="0.25">
      <c r="A169" s="81" t="s">
        <v>26</v>
      </c>
      <c r="B169" s="102">
        <f>SUM(B157:B168)</f>
        <v>1156604</v>
      </c>
      <c r="C169" s="103">
        <f>SUM(C157:C168)</f>
        <v>220218</v>
      </c>
      <c r="D169" s="102">
        <f>SUM(D157:D168)</f>
        <v>1156.604</v>
      </c>
      <c r="E169" s="128">
        <f>SUM(E157:E168)</f>
        <v>983203</v>
      </c>
      <c r="F169" s="51"/>
      <c r="G169" s="102">
        <f>SUM(G157:G168)</f>
        <v>1193188.6140000001</v>
      </c>
      <c r="H169" s="102">
        <f>SUM(H157:H168)</f>
        <v>1014309.228</v>
      </c>
      <c r="I169" s="105">
        <f>SUM(I157:I168)</f>
        <v>67893.603999999992</v>
      </c>
      <c r="K169" s="105">
        <f>SUM(K157:K168)</f>
        <v>241294.60399999999</v>
      </c>
      <c r="L169" s="105">
        <f>SUM(L157:L168)</f>
        <v>0</v>
      </c>
      <c r="M169" s="105">
        <f>SUM(M157:M168)</f>
        <v>0</v>
      </c>
      <c r="N169" s="105">
        <f>SUM(N157:N168)</f>
        <v>46817</v>
      </c>
      <c r="P169" s="120">
        <f>SUM(P157:P168)</f>
        <v>17812</v>
      </c>
      <c r="Q169" s="120">
        <f>SUM(Q157:Q168)</f>
        <v>27759</v>
      </c>
      <c r="R169" s="120">
        <f>SUM(R157:R168)</f>
        <v>10756</v>
      </c>
      <c r="S169" s="120"/>
      <c r="T169" s="120">
        <f>SUM(T157:T168)</f>
        <v>10410</v>
      </c>
      <c r="U169" s="120">
        <f>SUM(U157:U168)</f>
        <v>1156.604</v>
      </c>
    </row>
    <row r="174" spans="1:21" ht="12" thickBot="1" x14ac:dyDescent="0.25"/>
    <row r="175" spans="1:21" x14ac:dyDescent="0.2">
      <c r="A175" s="63" t="s">
        <v>27</v>
      </c>
      <c r="B175" s="64" t="s">
        <v>80</v>
      </c>
      <c r="C175" s="64"/>
      <c r="D175" s="64"/>
      <c r="E175" s="84"/>
      <c r="G175" s="62"/>
      <c r="K175" s="85"/>
      <c r="N175" s="60">
        <v>7</v>
      </c>
    </row>
    <row r="176" spans="1:21" ht="12" thickBot="1" x14ac:dyDescent="0.25">
      <c r="A176" s="86" t="s">
        <v>1</v>
      </c>
      <c r="B176" s="108" t="s">
        <v>81</v>
      </c>
      <c r="C176" s="87"/>
      <c r="D176" s="75"/>
      <c r="E176" s="70"/>
      <c r="F176" s="77"/>
      <c r="G176" s="78"/>
      <c r="H176" s="79"/>
    </row>
    <row r="177" spans="1:21" ht="12" thickBot="1" x14ac:dyDescent="0.25">
      <c r="A177" s="88" t="s">
        <v>3</v>
      </c>
      <c r="B177" s="39" t="s">
        <v>4</v>
      </c>
      <c r="C177" s="77" t="s">
        <v>5</v>
      </c>
      <c r="D177" s="39" t="s">
        <v>90</v>
      </c>
      <c r="E177" s="39" t="s">
        <v>6</v>
      </c>
      <c r="F177" s="65" t="s">
        <v>7</v>
      </c>
      <c r="G177" s="39" t="s">
        <v>68</v>
      </c>
      <c r="H177" s="39" t="s">
        <v>8</v>
      </c>
      <c r="I177" s="43" t="s">
        <v>65</v>
      </c>
      <c r="K177" s="43" t="s">
        <v>71</v>
      </c>
      <c r="L177" s="43" t="s">
        <v>73</v>
      </c>
      <c r="M177" s="89" t="s">
        <v>75</v>
      </c>
      <c r="N177" s="43" t="s">
        <v>76</v>
      </c>
      <c r="P177" s="142" t="s">
        <v>92</v>
      </c>
      <c r="Q177" s="143"/>
      <c r="R177" s="143"/>
      <c r="S177" s="143"/>
      <c r="T177" s="143"/>
      <c r="U177" s="144"/>
    </row>
    <row r="178" spans="1:21" ht="12" thickBot="1" x14ac:dyDescent="0.25">
      <c r="A178" s="40"/>
      <c r="B178" s="41" t="s">
        <v>9</v>
      </c>
      <c r="C178" s="48" t="s">
        <v>10</v>
      </c>
      <c r="D178" s="41" t="s">
        <v>91</v>
      </c>
      <c r="E178" s="41" t="s">
        <v>67</v>
      </c>
      <c r="F178" s="73" t="s">
        <v>12</v>
      </c>
      <c r="G178" s="41" t="s">
        <v>69</v>
      </c>
      <c r="H178" s="41" t="s">
        <v>70</v>
      </c>
      <c r="I178" s="44" t="s">
        <v>66</v>
      </c>
      <c r="K178" s="44" t="s">
        <v>72</v>
      </c>
      <c r="L178" s="44" t="s">
        <v>74</v>
      </c>
      <c r="M178" s="90" t="s">
        <v>69</v>
      </c>
      <c r="N178" s="44" t="s">
        <v>77</v>
      </c>
      <c r="P178" s="121" t="s">
        <v>93</v>
      </c>
      <c r="Q178" s="122" t="s">
        <v>94</v>
      </c>
      <c r="R178" s="122" t="s">
        <v>95</v>
      </c>
      <c r="S178" s="130" t="s">
        <v>106</v>
      </c>
      <c r="T178" s="130" t="s">
        <v>96</v>
      </c>
      <c r="U178" s="134" t="s">
        <v>97</v>
      </c>
    </row>
    <row r="179" spans="1:21" ht="12.75" x14ac:dyDescent="0.2">
      <c r="A179" s="91" t="s">
        <v>14</v>
      </c>
      <c r="B179" s="92">
        <v>0</v>
      </c>
      <c r="C179" s="93">
        <v>0</v>
      </c>
      <c r="D179" s="113">
        <f>B179*0.1%</f>
        <v>0</v>
      </c>
      <c r="E179" s="109">
        <f>B179-C179</f>
        <v>0</v>
      </c>
      <c r="F179" s="125">
        <v>1.036</v>
      </c>
      <c r="G179" s="94">
        <f t="shared" ref="G179:G190" si="55">B179*F179</f>
        <v>0</v>
      </c>
      <c r="H179" s="99">
        <f t="shared" ref="H179:H190" si="56">E179*F179</f>
        <v>0</v>
      </c>
      <c r="I179" s="98">
        <f>P179+Q179+R179+T179+U179</f>
        <v>29484</v>
      </c>
      <c r="K179" s="97">
        <f>C179+I179</f>
        <v>29484</v>
      </c>
      <c r="L179" s="96">
        <v>0</v>
      </c>
      <c r="M179" s="96">
        <f>L179*F179</f>
        <v>0</v>
      </c>
      <c r="N179" s="96">
        <v>0</v>
      </c>
      <c r="P179" s="96">
        <v>8301</v>
      </c>
      <c r="Q179" s="96">
        <v>16170</v>
      </c>
      <c r="R179" s="96">
        <v>162</v>
      </c>
      <c r="S179" s="131"/>
      <c r="T179" s="131">
        <v>4851</v>
      </c>
      <c r="U179" s="97">
        <f>D179</f>
        <v>0</v>
      </c>
    </row>
    <row r="180" spans="1:21" ht="12.75" x14ac:dyDescent="0.2">
      <c r="A180" s="91" t="s">
        <v>15</v>
      </c>
      <c r="B180" s="93">
        <v>0</v>
      </c>
      <c r="C180" s="93">
        <v>0</v>
      </c>
      <c r="D180" s="113">
        <f t="shared" ref="D180:D190" si="57">B180*0.1%</f>
        <v>0</v>
      </c>
      <c r="E180" s="110">
        <f>B180-C180</f>
        <v>0</v>
      </c>
      <c r="F180" s="126">
        <v>1.026</v>
      </c>
      <c r="G180" s="94">
        <f t="shared" si="55"/>
        <v>0</v>
      </c>
      <c r="H180" s="99">
        <f t="shared" si="56"/>
        <v>0</v>
      </c>
      <c r="I180" s="98">
        <f t="shared" ref="I180:I190" si="58">P180+Q180+R180+T180+U180</f>
        <v>32812</v>
      </c>
      <c r="K180" s="97">
        <f t="shared" ref="K180:K190" si="59">C180+I180</f>
        <v>32812</v>
      </c>
      <c r="L180" s="98">
        <v>0</v>
      </c>
      <c r="M180" s="96">
        <f t="shared" ref="M180:M190" si="60">L180*F180</f>
        <v>0</v>
      </c>
      <c r="N180" s="98">
        <v>0</v>
      </c>
      <c r="P180" s="98">
        <v>10376</v>
      </c>
      <c r="Q180" s="98">
        <v>16170</v>
      </c>
      <c r="R180" s="98">
        <v>202</v>
      </c>
      <c r="S180" s="132"/>
      <c r="T180" s="132">
        <v>6064</v>
      </c>
      <c r="U180" s="97">
        <f t="shared" ref="U180:U190" si="61">D180</f>
        <v>0</v>
      </c>
    </row>
    <row r="181" spans="1:21" ht="12.75" x14ac:dyDescent="0.2">
      <c r="A181" s="91" t="s">
        <v>16</v>
      </c>
      <c r="B181" s="99">
        <v>0</v>
      </c>
      <c r="C181" s="99">
        <v>0</v>
      </c>
      <c r="D181" s="113">
        <f t="shared" si="57"/>
        <v>0</v>
      </c>
      <c r="E181" s="110">
        <f t="shared" ref="E181:E190" si="62">B181-C181</f>
        <v>0</v>
      </c>
      <c r="F181" s="126">
        <v>1.022</v>
      </c>
      <c r="G181" s="94">
        <f t="shared" si="55"/>
        <v>0</v>
      </c>
      <c r="H181" s="99">
        <f t="shared" si="56"/>
        <v>0</v>
      </c>
      <c r="I181" s="98">
        <f t="shared" si="58"/>
        <v>32812</v>
      </c>
      <c r="K181" s="97">
        <f t="shared" si="59"/>
        <v>32812</v>
      </c>
      <c r="L181" s="98">
        <v>0</v>
      </c>
      <c r="M181" s="96">
        <f t="shared" si="60"/>
        <v>0</v>
      </c>
      <c r="N181" s="98">
        <v>0</v>
      </c>
      <c r="P181" s="98">
        <v>10376</v>
      </c>
      <c r="Q181" s="98">
        <v>16170</v>
      </c>
      <c r="R181" s="98">
        <v>202</v>
      </c>
      <c r="S181" s="132"/>
      <c r="T181" s="132">
        <v>6064</v>
      </c>
      <c r="U181" s="97">
        <f t="shared" si="61"/>
        <v>0</v>
      </c>
    </row>
    <row r="182" spans="1:21" ht="12.75" x14ac:dyDescent="0.2">
      <c r="A182" s="91" t="s">
        <v>17</v>
      </c>
      <c r="B182" s="99">
        <v>0</v>
      </c>
      <c r="C182" s="99">
        <v>0</v>
      </c>
      <c r="D182" s="113">
        <f t="shared" si="57"/>
        <v>0</v>
      </c>
      <c r="E182" s="110">
        <f t="shared" si="62"/>
        <v>0</v>
      </c>
      <c r="F182" s="126">
        <v>1.016</v>
      </c>
      <c r="G182" s="94">
        <f t="shared" si="55"/>
        <v>0</v>
      </c>
      <c r="H182" s="99">
        <f t="shared" si="56"/>
        <v>0</v>
      </c>
      <c r="I182" s="98">
        <f t="shared" si="58"/>
        <v>33351</v>
      </c>
      <c r="K182" s="97">
        <f t="shared" si="59"/>
        <v>33351</v>
      </c>
      <c r="L182" s="98">
        <v>0</v>
      </c>
      <c r="M182" s="96">
        <f t="shared" si="60"/>
        <v>0</v>
      </c>
      <c r="N182" s="98">
        <v>0</v>
      </c>
      <c r="P182" s="98">
        <v>10915</v>
      </c>
      <c r="Q182" s="98">
        <v>16170</v>
      </c>
      <c r="R182" s="98">
        <v>202</v>
      </c>
      <c r="S182" s="132"/>
      <c r="T182" s="132">
        <v>6064</v>
      </c>
      <c r="U182" s="97">
        <f t="shared" si="61"/>
        <v>0</v>
      </c>
    </row>
    <row r="183" spans="1:21" ht="12.75" x14ac:dyDescent="0.2">
      <c r="A183" s="91" t="s">
        <v>18</v>
      </c>
      <c r="B183" s="99">
        <v>0</v>
      </c>
      <c r="C183" s="93">
        <v>0</v>
      </c>
      <c r="D183" s="113">
        <f t="shared" si="57"/>
        <v>0</v>
      </c>
      <c r="E183" s="110">
        <f t="shared" si="62"/>
        <v>0</v>
      </c>
      <c r="F183" s="126">
        <v>1.014</v>
      </c>
      <c r="G183" s="94">
        <f t="shared" si="55"/>
        <v>0</v>
      </c>
      <c r="H183" s="99">
        <f t="shared" si="56"/>
        <v>0</v>
      </c>
      <c r="I183" s="98">
        <f t="shared" si="58"/>
        <v>33351</v>
      </c>
      <c r="K183" s="97">
        <f t="shared" si="59"/>
        <v>33351</v>
      </c>
      <c r="L183" s="98">
        <v>0</v>
      </c>
      <c r="M183" s="96">
        <f t="shared" si="60"/>
        <v>0</v>
      </c>
      <c r="N183" s="98">
        <v>0</v>
      </c>
      <c r="P183" s="98">
        <v>10915</v>
      </c>
      <c r="Q183" s="98">
        <v>16170</v>
      </c>
      <c r="R183" s="98">
        <v>202</v>
      </c>
      <c r="S183" s="132"/>
      <c r="T183" s="132">
        <v>6064</v>
      </c>
      <c r="U183" s="97">
        <f t="shared" si="61"/>
        <v>0</v>
      </c>
    </row>
    <row r="184" spans="1:21" ht="12.75" x14ac:dyDescent="0.2">
      <c r="A184" s="91" t="s">
        <v>19</v>
      </c>
      <c r="B184" s="93">
        <v>0</v>
      </c>
      <c r="C184" s="93">
        <v>0</v>
      </c>
      <c r="D184" s="113">
        <f t="shared" si="57"/>
        <v>0</v>
      </c>
      <c r="E184" s="110">
        <f t="shared" si="62"/>
        <v>0</v>
      </c>
      <c r="F184" s="126">
        <v>1.012</v>
      </c>
      <c r="G184" s="94">
        <f t="shared" si="55"/>
        <v>0</v>
      </c>
      <c r="H184" s="99">
        <f t="shared" si="56"/>
        <v>0</v>
      </c>
      <c r="I184" s="98">
        <f t="shared" si="58"/>
        <v>34251</v>
      </c>
      <c r="K184" s="97">
        <f t="shared" si="59"/>
        <v>34251</v>
      </c>
      <c r="L184" s="98">
        <v>0</v>
      </c>
      <c r="M184" s="96">
        <f t="shared" si="60"/>
        <v>0</v>
      </c>
      <c r="N184" s="98">
        <v>0</v>
      </c>
      <c r="P184" s="98">
        <v>11209</v>
      </c>
      <c r="Q184" s="98">
        <v>16607</v>
      </c>
      <c r="R184" s="98">
        <v>208</v>
      </c>
      <c r="S184" s="132"/>
      <c r="T184" s="132">
        <v>6227</v>
      </c>
      <c r="U184" s="97">
        <f t="shared" si="61"/>
        <v>0</v>
      </c>
    </row>
    <row r="185" spans="1:21" ht="12.75" x14ac:dyDescent="0.2">
      <c r="A185" s="91" t="s">
        <v>20</v>
      </c>
      <c r="B185" s="93">
        <v>0</v>
      </c>
      <c r="C185" s="93">
        <v>0</v>
      </c>
      <c r="D185" s="113">
        <f t="shared" si="57"/>
        <v>0</v>
      </c>
      <c r="E185" s="110">
        <f t="shared" si="62"/>
        <v>0</v>
      </c>
      <c r="F185" s="126">
        <v>1.0169999999999999</v>
      </c>
      <c r="G185" s="94">
        <f t="shared" si="55"/>
        <v>0</v>
      </c>
      <c r="H185" s="99">
        <f t="shared" si="56"/>
        <v>0</v>
      </c>
      <c r="I185" s="98">
        <f t="shared" si="58"/>
        <v>36881</v>
      </c>
      <c r="K185" s="97">
        <f t="shared" si="59"/>
        <v>36881</v>
      </c>
      <c r="L185" s="98">
        <v>0</v>
      </c>
      <c r="M185" s="96">
        <f t="shared" si="60"/>
        <v>0</v>
      </c>
      <c r="N185" s="98">
        <v>0</v>
      </c>
      <c r="P185" s="98">
        <v>13839</v>
      </c>
      <c r="Q185" s="98">
        <v>16607</v>
      </c>
      <c r="R185" s="98">
        <v>208</v>
      </c>
      <c r="S185" s="132"/>
      <c r="T185" s="132">
        <v>6227</v>
      </c>
      <c r="U185" s="97">
        <f t="shared" si="61"/>
        <v>0</v>
      </c>
    </row>
    <row r="186" spans="1:21" ht="12.75" x14ac:dyDescent="0.2">
      <c r="A186" s="91" t="s">
        <v>21</v>
      </c>
      <c r="B186" s="93"/>
      <c r="C186" s="93"/>
      <c r="D186" s="113">
        <f t="shared" si="57"/>
        <v>0</v>
      </c>
      <c r="E186" s="110">
        <f t="shared" si="62"/>
        <v>0</v>
      </c>
      <c r="F186" s="126">
        <v>1.008</v>
      </c>
      <c r="G186" s="94">
        <f t="shared" si="55"/>
        <v>0</v>
      </c>
      <c r="H186" s="99">
        <f t="shared" si="56"/>
        <v>0</v>
      </c>
      <c r="I186" s="98">
        <f t="shared" si="58"/>
        <v>0</v>
      </c>
      <c r="K186" s="97">
        <f t="shared" si="59"/>
        <v>0</v>
      </c>
      <c r="L186" s="98">
        <v>0</v>
      </c>
      <c r="M186" s="96">
        <f t="shared" si="60"/>
        <v>0</v>
      </c>
      <c r="N186" s="98">
        <v>0</v>
      </c>
      <c r="P186" s="98"/>
      <c r="Q186" s="98"/>
      <c r="R186" s="98"/>
      <c r="S186" s="132"/>
      <c r="T186" s="132"/>
      <c r="U186" s="97">
        <f t="shared" si="61"/>
        <v>0</v>
      </c>
    </row>
    <row r="187" spans="1:21" ht="12.75" x14ac:dyDescent="0.2">
      <c r="A187" s="91" t="s">
        <v>22</v>
      </c>
      <c r="B187" s="93"/>
      <c r="C187" s="93"/>
      <c r="D187" s="113">
        <f t="shared" si="57"/>
        <v>0</v>
      </c>
      <c r="E187" s="110">
        <f t="shared" si="62"/>
        <v>0</v>
      </c>
      <c r="F187" s="126">
        <v>1.0069999999999999</v>
      </c>
      <c r="G187" s="94">
        <f t="shared" si="55"/>
        <v>0</v>
      </c>
      <c r="H187" s="99">
        <f t="shared" si="56"/>
        <v>0</v>
      </c>
      <c r="I187" s="98">
        <f t="shared" si="58"/>
        <v>0</v>
      </c>
      <c r="K187" s="97">
        <f t="shared" si="59"/>
        <v>0</v>
      </c>
      <c r="L187" s="98">
        <v>0</v>
      </c>
      <c r="M187" s="96">
        <f t="shared" si="60"/>
        <v>0</v>
      </c>
      <c r="N187" s="98">
        <v>0</v>
      </c>
      <c r="P187" s="98"/>
      <c r="Q187" s="98"/>
      <c r="R187" s="98"/>
      <c r="S187" s="132"/>
      <c r="T187" s="132"/>
      <c r="U187" s="97">
        <f t="shared" si="61"/>
        <v>0</v>
      </c>
    </row>
    <row r="188" spans="1:21" ht="12.75" x14ac:dyDescent="0.2">
      <c r="A188" s="91" t="s">
        <v>23</v>
      </c>
      <c r="B188" s="93"/>
      <c r="C188" s="99"/>
      <c r="D188" s="113">
        <f t="shared" si="57"/>
        <v>0</v>
      </c>
      <c r="E188" s="110">
        <f t="shared" si="62"/>
        <v>0</v>
      </c>
      <c r="F188" s="126">
        <v>1.0029999999999999</v>
      </c>
      <c r="G188" s="94">
        <f t="shared" si="55"/>
        <v>0</v>
      </c>
      <c r="H188" s="99">
        <f t="shared" si="56"/>
        <v>0</v>
      </c>
      <c r="I188" s="98">
        <f t="shared" si="58"/>
        <v>0</v>
      </c>
      <c r="K188" s="97">
        <f t="shared" si="59"/>
        <v>0</v>
      </c>
      <c r="L188" s="98">
        <v>0</v>
      </c>
      <c r="M188" s="96">
        <f t="shared" si="60"/>
        <v>0</v>
      </c>
      <c r="N188" s="98">
        <v>0</v>
      </c>
      <c r="P188" s="98"/>
      <c r="Q188" s="98"/>
      <c r="R188" s="98"/>
      <c r="S188" s="132"/>
      <c r="T188" s="132"/>
      <c r="U188" s="97">
        <f t="shared" si="61"/>
        <v>0</v>
      </c>
    </row>
    <row r="189" spans="1:21" ht="12.75" x14ac:dyDescent="0.2">
      <c r="A189" s="91" t="s">
        <v>24</v>
      </c>
      <c r="B189" s="93"/>
      <c r="C189" s="93"/>
      <c r="D189" s="113">
        <f t="shared" si="57"/>
        <v>0</v>
      </c>
      <c r="E189" s="110">
        <f t="shared" si="62"/>
        <v>0</v>
      </c>
      <c r="F189" s="126">
        <v>1.0029999999999999</v>
      </c>
      <c r="G189" s="94">
        <f t="shared" si="55"/>
        <v>0</v>
      </c>
      <c r="H189" s="99">
        <f t="shared" si="56"/>
        <v>0</v>
      </c>
      <c r="I189" s="98">
        <f t="shared" si="58"/>
        <v>0</v>
      </c>
      <c r="K189" s="97">
        <f t="shared" si="59"/>
        <v>0</v>
      </c>
      <c r="L189" s="98">
        <v>0</v>
      </c>
      <c r="M189" s="96">
        <f t="shared" si="60"/>
        <v>0</v>
      </c>
      <c r="N189" s="98">
        <v>0</v>
      </c>
      <c r="P189" s="98"/>
      <c r="Q189" s="98"/>
      <c r="R189" s="98"/>
      <c r="S189" s="132"/>
      <c r="T189" s="132"/>
      <c r="U189" s="97">
        <f t="shared" si="61"/>
        <v>0</v>
      </c>
    </row>
    <row r="190" spans="1:21" ht="13.5" thickBot="1" x14ac:dyDescent="0.25">
      <c r="A190" s="100" t="s">
        <v>25</v>
      </c>
      <c r="B190" s="93"/>
      <c r="C190" s="93"/>
      <c r="D190" s="113">
        <f t="shared" si="57"/>
        <v>0</v>
      </c>
      <c r="E190" s="110">
        <f t="shared" si="62"/>
        <v>0</v>
      </c>
      <c r="F190" s="127">
        <v>1</v>
      </c>
      <c r="G190" s="94">
        <f t="shared" si="55"/>
        <v>0</v>
      </c>
      <c r="H190" s="99">
        <f t="shared" si="56"/>
        <v>0</v>
      </c>
      <c r="I190" s="98">
        <f t="shared" si="58"/>
        <v>0</v>
      </c>
      <c r="K190" s="97">
        <f t="shared" si="59"/>
        <v>0</v>
      </c>
      <c r="L190" s="101">
        <v>0</v>
      </c>
      <c r="M190" s="96">
        <f t="shared" si="60"/>
        <v>0</v>
      </c>
      <c r="N190" s="101">
        <v>0</v>
      </c>
      <c r="P190" s="101"/>
      <c r="Q190" s="101"/>
      <c r="R190" s="101"/>
      <c r="S190" s="133"/>
      <c r="T190" s="133"/>
      <c r="U190" s="97">
        <f t="shared" si="61"/>
        <v>0</v>
      </c>
    </row>
    <row r="191" spans="1:21" ht="12" thickBot="1" x14ac:dyDescent="0.25">
      <c r="A191" s="81" t="s">
        <v>26</v>
      </c>
      <c r="B191" s="102">
        <f>SUM(B179:B190)</f>
        <v>0</v>
      </c>
      <c r="C191" s="103">
        <f>SUM(C179:C190)</f>
        <v>0</v>
      </c>
      <c r="D191" s="102">
        <f>SUM(D179:D190)</f>
        <v>0</v>
      </c>
      <c r="E191" s="102">
        <f>SUM(E179:E190)</f>
        <v>0</v>
      </c>
      <c r="F191" s="51"/>
      <c r="G191" s="102">
        <f>SUM(G179:G190)</f>
        <v>0</v>
      </c>
      <c r="H191" s="102">
        <f>SUM(H179:H190)</f>
        <v>0</v>
      </c>
      <c r="I191" s="105">
        <f>SUM(I179:I190)</f>
        <v>232942</v>
      </c>
      <c r="K191" s="105">
        <f>SUM(K179:K190)</f>
        <v>232942</v>
      </c>
      <c r="L191" s="105">
        <f>SUM(L179:L190)</f>
        <v>0</v>
      </c>
      <c r="M191" s="105">
        <f>SUM(M179:M190)</f>
        <v>0</v>
      </c>
      <c r="N191" s="105">
        <f>SUM(N179:N190)</f>
        <v>0</v>
      </c>
      <c r="P191" s="120">
        <f>SUM(P179:P190)</f>
        <v>75931</v>
      </c>
      <c r="Q191" s="120">
        <f>SUM(Q179:Q190)</f>
        <v>114064</v>
      </c>
      <c r="R191" s="120">
        <f>SUM(R179:R190)</f>
        <v>1386</v>
      </c>
      <c r="S191" s="120"/>
      <c r="T191" s="120">
        <f>SUM(T179:T190)</f>
        <v>41561</v>
      </c>
      <c r="U191" s="120">
        <f>SUM(U179:U190)</f>
        <v>0</v>
      </c>
    </row>
    <row r="192" spans="1:21" x14ac:dyDescent="0.2">
      <c r="A192" s="68"/>
      <c r="B192" s="75"/>
      <c r="C192" s="75"/>
      <c r="D192" s="75"/>
      <c r="E192" s="75"/>
      <c r="F192" s="77"/>
      <c r="G192" s="75"/>
      <c r="H192" s="75"/>
      <c r="I192" s="106"/>
      <c r="K192" s="106"/>
      <c r="L192" s="106"/>
      <c r="M192" s="106"/>
      <c r="N192" s="106"/>
    </row>
    <row r="193" spans="1:21" x14ac:dyDescent="0.2">
      <c r="A193" s="68"/>
      <c r="B193" s="75"/>
      <c r="C193" s="75"/>
      <c r="D193" s="75"/>
      <c r="E193" s="75"/>
      <c r="F193" s="77"/>
      <c r="G193" s="75"/>
      <c r="H193" s="75"/>
      <c r="I193" s="106"/>
      <c r="K193" s="106"/>
      <c r="L193" s="106"/>
      <c r="M193" s="106"/>
      <c r="N193" s="106"/>
    </row>
    <row r="194" spans="1:21" x14ac:dyDescent="0.2">
      <c r="A194" s="68"/>
      <c r="B194" s="75"/>
      <c r="C194" s="75"/>
      <c r="D194" s="75"/>
      <c r="E194" s="75"/>
      <c r="F194" s="77"/>
      <c r="G194" s="75"/>
      <c r="H194" s="75"/>
      <c r="I194" s="106"/>
      <c r="K194" s="106"/>
      <c r="L194" s="106"/>
      <c r="M194" s="106"/>
      <c r="N194" s="106"/>
    </row>
    <row r="195" spans="1:21" x14ac:dyDescent="0.2">
      <c r="A195" s="68"/>
      <c r="B195" s="75"/>
      <c r="C195" s="75"/>
      <c r="D195" s="75"/>
      <c r="E195" s="75"/>
      <c r="F195" s="77"/>
      <c r="G195" s="75"/>
      <c r="H195" s="75"/>
      <c r="I195" s="106"/>
      <c r="K195" s="106"/>
      <c r="L195" s="106"/>
      <c r="M195" s="106"/>
      <c r="N195" s="106"/>
    </row>
    <row r="196" spans="1:21" x14ac:dyDescent="0.2">
      <c r="A196" s="68"/>
      <c r="B196" s="75"/>
      <c r="C196" s="75"/>
      <c r="D196" s="75"/>
      <c r="E196" s="75"/>
      <c r="F196" s="77"/>
      <c r="G196" s="75"/>
      <c r="H196" s="75"/>
      <c r="I196" s="106"/>
      <c r="K196" s="106"/>
      <c r="L196" s="106"/>
      <c r="M196" s="106"/>
      <c r="N196" s="106"/>
    </row>
    <row r="197" spans="1:21" x14ac:dyDescent="0.2">
      <c r="A197" s="68"/>
      <c r="B197" s="75"/>
      <c r="C197" s="75"/>
      <c r="D197" s="75"/>
      <c r="E197" s="75"/>
      <c r="F197" s="77"/>
      <c r="G197" s="75"/>
      <c r="H197" s="75"/>
      <c r="I197" s="106"/>
      <c r="K197" s="106"/>
      <c r="L197" s="106"/>
      <c r="M197" s="106"/>
      <c r="N197" s="106"/>
    </row>
    <row r="200" spans="1:21" ht="12" thickBot="1" x14ac:dyDescent="0.25"/>
    <row r="201" spans="1:21" x14ac:dyDescent="0.2">
      <c r="A201" s="63" t="s">
        <v>27</v>
      </c>
      <c r="B201" s="64" t="s">
        <v>82</v>
      </c>
      <c r="C201" s="64"/>
      <c r="D201" s="64"/>
      <c r="E201" s="84"/>
      <c r="G201" s="62"/>
      <c r="K201" s="85"/>
      <c r="N201" s="60">
        <v>8</v>
      </c>
    </row>
    <row r="202" spans="1:21" ht="12" thickBot="1" x14ac:dyDescent="0.25">
      <c r="A202" s="86" t="s">
        <v>1</v>
      </c>
      <c r="B202" s="108" t="s">
        <v>83</v>
      </c>
      <c r="C202" s="87"/>
      <c r="D202" s="75"/>
      <c r="E202" s="70"/>
      <c r="F202" s="77"/>
      <c r="G202" s="78"/>
      <c r="H202" s="79"/>
    </row>
    <row r="203" spans="1:21" ht="12" thickBot="1" x14ac:dyDescent="0.25">
      <c r="A203" s="88" t="s">
        <v>3</v>
      </c>
      <c r="B203" s="39" t="s">
        <v>4</v>
      </c>
      <c r="C203" s="77" t="s">
        <v>5</v>
      </c>
      <c r="D203" s="39" t="s">
        <v>90</v>
      </c>
      <c r="E203" s="39" t="s">
        <v>6</v>
      </c>
      <c r="F203" s="65" t="s">
        <v>7</v>
      </c>
      <c r="G203" s="39" t="s">
        <v>68</v>
      </c>
      <c r="H203" s="39" t="s">
        <v>8</v>
      </c>
      <c r="I203" s="43" t="s">
        <v>65</v>
      </c>
      <c r="K203" s="43" t="s">
        <v>71</v>
      </c>
      <c r="L203" s="43" t="s">
        <v>73</v>
      </c>
      <c r="M203" s="89" t="s">
        <v>75</v>
      </c>
      <c r="N203" s="43" t="s">
        <v>76</v>
      </c>
      <c r="P203" s="142" t="s">
        <v>92</v>
      </c>
      <c r="Q203" s="143"/>
      <c r="R203" s="143"/>
      <c r="S203" s="143"/>
      <c r="T203" s="143"/>
      <c r="U203" s="144"/>
    </row>
    <row r="204" spans="1:21" ht="12" thickBot="1" x14ac:dyDescent="0.25">
      <c r="A204" s="40"/>
      <c r="B204" s="41" t="s">
        <v>9</v>
      </c>
      <c r="C204" s="48" t="s">
        <v>10</v>
      </c>
      <c r="D204" s="41" t="s">
        <v>91</v>
      </c>
      <c r="E204" s="123" t="s">
        <v>67</v>
      </c>
      <c r="F204" s="73" t="s">
        <v>12</v>
      </c>
      <c r="G204" s="41" t="s">
        <v>69</v>
      </c>
      <c r="H204" s="41" t="s">
        <v>70</v>
      </c>
      <c r="I204" s="44" t="s">
        <v>66</v>
      </c>
      <c r="K204" s="44" t="s">
        <v>72</v>
      </c>
      <c r="L204" s="44" t="s">
        <v>74</v>
      </c>
      <c r="M204" s="90" t="s">
        <v>69</v>
      </c>
      <c r="N204" s="44" t="s">
        <v>77</v>
      </c>
      <c r="P204" s="121" t="s">
        <v>93</v>
      </c>
      <c r="Q204" s="122" t="s">
        <v>94</v>
      </c>
      <c r="R204" s="122" t="s">
        <v>95</v>
      </c>
      <c r="S204" s="130" t="s">
        <v>106</v>
      </c>
      <c r="T204" s="130" t="s">
        <v>96</v>
      </c>
      <c r="U204" s="134" t="s">
        <v>97</v>
      </c>
    </row>
    <row r="205" spans="1:21" ht="12.75" x14ac:dyDescent="0.2">
      <c r="A205" s="91" t="s">
        <v>14</v>
      </c>
      <c r="B205" s="92">
        <v>157209</v>
      </c>
      <c r="C205" s="93">
        <f>16601+943+11005-157</f>
        <v>28392</v>
      </c>
      <c r="D205" s="113">
        <f>B205*0.1%</f>
        <v>157.209</v>
      </c>
      <c r="E205" s="93">
        <f>B205-C205+N205</f>
        <v>155827</v>
      </c>
      <c r="F205" s="125">
        <v>1.036</v>
      </c>
      <c r="G205" s="94">
        <f t="shared" ref="G205:G216" si="63">B205*F205</f>
        <v>162868.524</v>
      </c>
      <c r="H205" s="99">
        <f t="shared" ref="H205:H216" si="64">E205*F205</f>
        <v>161436.772</v>
      </c>
      <c r="I205" s="98">
        <f>P205+Q205+R205+T205+U205</f>
        <v>34939.209000000003</v>
      </c>
      <c r="K205" s="97">
        <f>C205+I205-N205</f>
        <v>36321.209000000003</v>
      </c>
      <c r="L205" s="96">
        <v>0</v>
      </c>
      <c r="M205" s="96">
        <f>L205*F205</f>
        <v>0</v>
      </c>
      <c r="N205" s="96">
        <v>27010</v>
      </c>
      <c r="P205" s="96">
        <v>10722</v>
      </c>
      <c r="Q205" s="96">
        <v>16170</v>
      </c>
      <c r="R205" s="96">
        <v>1624</v>
      </c>
      <c r="S205" s="131"/>
      <c r="T205" s="131">
        <v>6266</v>
      </c>
      <c r="U205" s="97">
        <f>D205</f>
        <v>157.209</v>
      </c>
    </row>
    <row r="206" spans="1:21" ht="12.75" x14ac:dyDescent="0.2">
      <c r="A206" s="91" t="s">
        <v>15</v>
      </c>
      <c r="B206" s="93">
        <v>336875</v>
      </c>
      <c r="C206" s="93">
        <f>35574+2021+23581-337</f>
        <v>60839</v>
      </c>
      <c r="D206" s="113">
        <f t="shared" ref="D206:D216" si="65">B206*0.1%</f>
        <v>336.875</v>
      </c>
      <c r="E206" s="93">
        <f t="shared" ref="E206:E216" si="66">B206-C206+N206</f>
        <v>303046</v>
      </c>
      <c r="F206" s="126">
        <v>1.026</v>
      </c>
      <c r="G206" s="94">
        <f t="shared" si="63"/>
        <v>345633.75</v>
      </c>
      <c r="H206" s="99">
        <f t="shared" si="64"/>
        <v>310925.196</v>
      </c>
      <c r="I206" s="98">
        <f t="shared" ref="I206:I216" si="67">P206+Q206+R206+T206+U206</f>
        <v>44501.875</v>
      </c>
      <c r="K206" s="97">
        <f t="shared" ref="K206:K216" si="68">C206+I206-N206</f>
        <v>78330.875</v>
      </c>
      <c r="L206" s="98">
        <v>0</v>
      </c>
      <c r="M206" s="96">
        <f t="shared" ref="M206:M216" si="69">L206*F206</f>
        <v>0</v>
      </c>
      <c r="N206" s="98">
        <v>27010</v>
      </c>
      <c r="P206" s="98">
        <v>15564</v>
      </c>
      <c r="Q206" s="98">
        <v>16170</v>
      </c>
      <c r="R206" s="98">
        <v>3335</v>
      </c>
      <c r="S206" s="132"/>
      <c r="T206" s="132">
        <v>9096</v>
      </c>
      <c r="U206" s="97">
        <f t="shared" ref="U206:U216" si="70">D206</f>
        <v>336.875</v>
      </c>
    </row>
    <row r="207" spans="1:21" ht="12.75" x14ac:dyDescent="0.2">
      <c r="A207" s="91" t="s">
        <v>16</v>
      </c>
      <c r="B207" s="99">
        <v>673750</v>
      </c>
      <c r="C207" s="99">
        <f>71148+4043+47163-674</f>
        <v>121680</v>
      </c>
      <c r="D207" s="113">
        <f t="shared" si="65"/>
        <v>673.75</v>
      </c>
      <c r="E207" s="93">
        <f t="shared" si="66"/>
        <v>579080</v>
      </c>
      <c r="F207" s="126">
        <v>1.022</v>
      </c>
      <c r="G207" s="94">
        <f t="shared" si="63"/>
        <v>688572.5</v>
      </c>
      <c r="H207" s="99">
        <f t="shared" si="64"/>
        <v>591819.76</v>
      </c>
      <c r="I207" s="98">
        <f t="shared" si="67"/>
        <v>39549.75</v>
      </c>
      <c r="K207" s="97">
        <f t="shared" si="68"/>
        <v>134219.75</v>
      </c>
      <c r="L207" s="98">
        <v>0</v>
      </c>
      <c r="M207" s="96">
        <f t="shared" si="69"/>
        <v>0</v>
      </c>
      <c r="N207" s="98">
        <v>27010</v>
      </c>
      <c r="P207" s="98">
        <v>10376</v>
      </c>
      <c r="Q207" s="98">
        <v>16170</v>
      </c>
      <c r="R207" s="98">
        <v>6266</v>
      </c>
      <c r="S207" s="132"/>
      <c r="T207" s="132">
        <v>6064</v>
      </c>
      <c r="U207" s="97">
        <f t="shared" si="70"/>
        <v>673.75</v>
      </c>
    </row>
    <row r="208" spans="1:21" ht="12.75" x14ac:dyDescent="0.2">
      <c r="A208" s="91" t="s">
        <v>17</v>
      </c>
      <c r="B208" s="99">
        <v>0</v>
      </c>
      <c r="C208" s="99">
        <v>0</v>
      </c>
      <c r="D208" s="113">
        <f t="shared" si="65"/>
        <v>0</v>
      </c>
      <c r="E208" s="93">
        <f t="shared" si="66"/>
        <v>0</v>
      </c>
      <c r="F208" s="126">
        <v>1.016</v>
      </c>
      <c r="G208" s="94">
        <f t="shared" si="63"/>
        <v>0</v>
      </c>
      <c r="H208" s="99">
        <f t="shared" si="64"/>
        <v>0</v>
      </c>
      <c r="I208" s="98">
        <f t="shared" si="67"/>
        <v>0</v>
      </c>
      <c r="K208" s="97">
        <f t="shared" si="68"/>
        <v>0</v>
      </c>
      <c r="L208" s="98">
        <v>0</v>
      </c>
      <c r="M208" s="96">
        <f t="shared" si="69"/>
        <v>0</v>
      </c>
      <c r="N208" s="98">
        <v>0</v>
      </c>
      <c r="P208" s="98">
        <v>0</v>
      </c>
      <c r="Q208" s="98">
        <v>0</v>
      </c>
      <c r="R208" s="98">
        <v>0</v>
      </c>
      <c r="S208" s="132"/>
      <c r="T208" s="132">
        <v>0</v>
      </c>
      <c r="U208" s="97">
        <f>D208</f>
        <v>0</v>
      </c>
    </row>
    <row r="209" spans="1:21" ht="12.75" x14ac:dyDescent="0.2">
      <c r="A209" s="91" t="s">
        <v>18</v>
      </c>
      <c r="B209" s="99">
        <v>0</v>
      </c>
      <c r="C209" s="93">
        <v>0</v>
      </c>
      <c r="D209" s="113">
        <f t="shared" si="65"/>
        <v>0</v>
      </c>
      <c r="E209" s="93">
        <f t="shared" si="66"/>
        <v>0</v>
      </c>
      <c r="F209" s="126">
        <v>1.014</v>
      </c>
      <c r="G209" s="94">
        <f t="shared" si="63"/>
        <v>0</v>
      </c>
      <c r="H209" s="99">
        <f t="shared" si="64"/>
        <v>0</v>
      </c>
      <c r="I209" s="98">
        <f t="shared" si="67"/>
        <v>0</v>
      </c>
      <c r="K209" s="97">
        <f t="shared" si="68"/>
        <v>0</v>
      </c>
      <c r="L209" s="98">
        <v>0</v>
      </c>
      <c r="M209" s="96">
        <f t="shared" si="69"/>
        <v>0</v>
      </c>
      <c r="N209" s="98">
        <v>0</v>
      </c>
      <c r="P209" s="98">
        <v>0</v>
      </c>
      <c r="Q209" s="98">
        <v>0</v>
      </c>
      <c r="R209" s="98">
        <v>0</v>
      </c>
      <c r="S209" s="132"/>
      <c r="T209" s="132">
        <v>0</v>
      </c>
      <c r="U209" s="97">
        <f t="shared" si="70"/>
        <v>0</v>
      </c>
    </row>
    <row r="210" spans="1:21" ht="12.75" x14ac:dyDescent="0.2">
      <c r="A210" s="91" t="s">
        <v>19</v>
      </c>
      <c r="B210" s="93">
        <v>0</v>
      </c>
      <c r="C210" s="93">
        <v>0</v>
      </c>
      <c r="D210" s="113">
        <f t="shared" si="65"/>
        <v>0</v>
      </c>
      <c r="E210" s="93">
        <f t="shared" si="66"/>
        <v>0</v>
      </c>
      <c r="F210" s="126">
        <v>1.012</v>
      </c>
      <c r="G210" s="94">
        <f t="shared" si="63"/>
        <v>0</v>
      </c>
      <c r="H210" s="99">
        <f t="shared" si="64"/>
        <v>0</v>
      </c>
      <c r="I210" s="98">
        <f t="shared" si="67"/>
        <v>0</v>
      </c>
      <c r="K210" s="97">
        <f t="shared" si="68"/>
        <v>0</v>
      </c>
      <c r="L210" s="98">
        <v>0</v>
      </c>
      <c r="M210" s="96">
        <f t="shared" si="69"/>
        <v>0</v>
      </c>
      <c r="N210" s="98">
        <v>0</v>
      </c>
      <c r="P210" s="98">
        <v>0</v>
      </c>
      <c r="Q210" s="98">
        <v>0</v>
      </c>
      <c r="R210" s="98">
        <v>0</v>
      </c>
      <c r="S210" s="132"/>
      <c r="T210" s="132">
        <v>0</v>
      </c>
      <c r="U210" s="97">
        <f t="shared" si="70"/>
        <v>0</v>
      </c>
    </row>
    <row r="211" spans="1:21" ht="12.75" x14ac:dyDescent="0.2">
      <c r="A211" s="91" t="s">
        <v>20</v>
      </c>
      <c r="B211" s="93">
        <v>0</v>
      </c>
      <c r="C211" s="93">
        <v>0</v>
      </c>
      <c r="D211" s="113">
        <f t="shared" si="65"/>
        <v>0</v>
      </c>
      <c r="E211" s="93">
        <f t="shared" si="66"/>
        <v>0</v>
      </c>
      <c r="F211" s="126">
        <v>1.0169999999999999</v>
      </c>
      <c r="G211" s="94">
        <f t="shared" si="63"/>
        <v>0</v>
      </c>
      <c r="H211" s="99">
        <f t="shared" si="64"/>
        <v>0</v>
      </c>
      <c r="I211" s="98">
        <f t="shared" si="67"/>
        <v>0</v>
      </c>
      <c r="K211" s="97">
        <f t="shared" si="68"/>
        <v>0</v>
      </c>
      <c r="L211" s="98">
        <v>0</v>
      </c>
      <c r="M211" s="96">
        <f t="shared" si="69"/>
        <v>0</v>
      </c>
      <c r="N211" s="98">
        <v>0</v>
      </c>
      <c r="P211" s="98">
        <v>0</v>
      </c>
      <c r="Q211" s="98">
        <v>0</v>
      </c>
      <c r="R211" s="98">
        <v>0</v>
      </c>
      <c r="S211" s="132"/>
      <c r="T211" s="132">
        <v>0</v>
      </c>
      <c r="U211" s="97">
        <f t="shared" si="70"/>
        <v>0</v>
      </c>
    </row>
    <row r="212" spans="1:21" ht="12.75" x14ac:dyDescent="0.2">
      <c r="A212" s="91" t="s">
        <v>21</v>
      </c>
      <c r="B212" s="93">
        <v>0</v>
      </c>
      <c r="C212" s="93">
        <v>0</v>
      </c>
      <c r="D212" s="113">
        <f t="shared" si="65"/>
        <v>0</v>
      </c>
      <c r="E212" s="93">
        <f t="shared" si="66"/>
        <v>0</v>
      </c>
      <c r="F212" s="126">
        <v>1.008</v>
      </c>
      <c r="G212" s="94">
        <f t="shared" si="63"/>
        <v>0</v>
      </c>
      <c r="H212" s="99">
        <f t="shared" si="64"/>
        <v>0</v>
      </c>
      <c r="I212" s="98">
        <f t="shared" si="67"/>
        <v>0</v>
      </c>
      <c r="K212" s="97">
        <f t="shared" si="68"/>
        <v>0</v>
      </c>
      <c r="L212" s="98">
        <v>0</v>
      </c>
      <c r="M212" s="96">
        <f t="shared" si="69"/>
        <v>0</v>
      </c>
      <c r="N212" s="98">
        <v>0</v>
      </c>
      <c r="P212" s="98">
        <v>0</v>
      </c>
      <c r="Q212" s="98">
        <v>0</v>
      </c>
      <c r="R212" s="98">
        <v>0</v>
      </c>
      <c r="S212" s="132"/>
      <c r="T212" s="132">
        <v>0</v>
      </c>
      <c r="U212" s="97">
        <f t="shared" si="70"/>
        <v>0</v>
      </c>
    </row>
    <row r="213" spans="1:21" ht="12.75" x14ac:dyDescent="0.2">
      <c r="A213" s="91" t="s">
        <v>22</v>
      </c>
      <c r="B213" s="93">
        <v>0</v>
      </c>
      <c r="C213" s="93">
        <v>0</v>
      </c>
      <c r="D213" s="113">
        <f t="shared" si="65"/>
        <v>0</v>
      </c>
      <c r="E213" s="93">
        <f t="shared" si="66"/>
        <v>0</v>
      </c>
      <c r="F213" s="126">
        <v>1.0069999999999999</v>
      </c>
      <c r="G213" s="94">
        <f t="shared" si="63"/>
        <v>0</v>
      </c>
      <c r="H213" s="99">
        <f t="shared" si="64"/>
        <v>0</v>
      </c>
      <c r="I213" s="98">
        <f t="shared" si="67"/>
        <v>0</v>
      </c>
      <c r="K213" s="97">
        <f t="shared" si="68"/>
        <v>0</v>
      </c>
      <c r="L213" s="98">
        <v>0</v>
      </c>
      <c r="M213" s="96">
        <f t="shared" si="69"/>
        <v>0</v>
      </c>
      <c r="N213" s="98">
        <v>0</v>
      </c>
      <c r="P213" s="98">
        <v>0</v>
      </c>
      <c r="Q213" s="98">
        <v>0</v>
      </c>
      <c r="R213" s="98">
        <v>0</v>
      </c>
      <c r="S213" s="132"/>
      <c r="T213" s="132">
        <v>0</v>
      </c>
      <c r="U213" s="97">
        <f t="shared" si="70"/>
        <v>0</v>
      </c>
    </row>
    <row r="214" spans="1:21" ht="12.75" x14ac:dyDescent="0.2">
      <c r="A214" s="91" t="s">
        <v>23</v>
      </c>
      <c r="B214" s="93">
        <v>0</v>
      </c>
      <c r="C214" s="99">
        <v>0</v>
      </c>
      <c r="D214" s="113">
        <f t="shared" si="65"/>
        <v>0</v>
      </c>
      <c r="E214" s="93">
        <f t="shared" si="66"/>
        <v>0</v>
      </c>
      <c r="F214" s="126">
        <v>1.0029999999999999</v>
      </c>
      <c r="G214" s="94">
        <f t="shared" si="63"/>
        <v>0</v>
      </c>
      <c r="H214" s="99">
        <f t="shared" si="64"/>
        <v>0</v>
      </c>
      <c r="I214" s="98">
        <f t="shared" si="67"/>
        <v>0</v>
      </c>
      <c r="K214" s="97">
        <f t="shared" si="68"/>
        <v>0</v>
      </c>
      <c r="L214" s="98">
        <v>0</v>
      </c>
      <c r="M214" s="96">
        <f t="shared" si="69"/>
        <v>0</v>
      </c>
      <c r="N214" s="98">
        <v>0</v>
      </c>
      <c r="P214" s="98">
        <v>0</v>
      </c>
      <c r="Q214" s="98">
        <v>0</v>
      </c>
      <c r="R214" s="98">
        <v>0</v>
      </c>
      <c r="S214" s="132"/>
      <c r="T214" s="132">
        <v>0</v>
      </c>
      <c r="U214" s="97">
        <f t="shared" si="70"/>
        <v>0</v>
      </c>
    </row>
    <row r="215" spans="1:21" ht="12.75" x14ac:dyDescent="0.2">
      <c r="A215" s="91" t="s">
        <v>24</v>
      </c>
      <c r="B215" s="93">
        <v>0</v>
      </c>
      <c r="C215" s="93">
        <v>0</v>
      </c>
      <c r="D215" s="113">
        <f t="shared" si="65"/>
        <v>0</v>
      </c>
      <c r="E215" s="93">
        <f t="shared" si="66"/>
        <v>0</v>
      </c>
      <c r="F215" s="126">
        <v>1.0029999999999999</v>
      </c>
      <c r="G215" s="94">
        <f t="shared" si="63"/>
        <v>0</v>
      </c>
      <c r="H215" s="99">
        <f t="shared" si="64"/>
        <v>0</v>
      </c>
      <c r="I215" s="98">
        <f t="shared" si="67"/>
        <v>0</v>
      </c>
      <c r="K215" s="97">
        <f t="shared" si="68"/>
        <v>0</v>
      </c>
      <c r="L215" s="98">
        <v>0</v>
      </c>
      <c r="M215" s="96">
        <f t="shared" si="69"/>
        <v>0</v>
      </c>
      <c r="N215" s="98">
        <v>0</v>
      </c>
      <c r="P215" s="98">
        <v>0</v>
      </c>
      <c r="Q215" s="98">
        <v>0</v>
      </c>
      <c r="R215" s="98">
        <v>0</v>
      </c>
      <c r="S215" s="132"/>
      <c r="T215" s="132">
        <v>0</v>
      </c>
      <c r="U215" s="97">
        <f t="shared" si="70"/>
        <v>0</v>
      </c>
    </row>
    <row r="216" spans="1:21" ht="13.5" thickBot="1" x14ac:dyDescent="0.25">
      <c r="A216" s="100" t="s">
        <v>25</v>
      </c>
      <c r="B216" s="93">
        <v>0</v>
      </c>
      <c r="C216" s="93">
        <v>0</v>
      </c>
      <c r="D216" s="113">
        <f t="shared" si="65"/>
        <v>0</v>
      </c>
      <c r="E216" s="124">
        <f t="shared" si="66"/>
        <v>0</v>
      </c>
      <c r="F216" s="127">
        <v>1</v>
      </c>
      <c r="G216" s="94">
        <f t="shared" si="63"/>
        <v>0</v>
      </c>
      <c r="H216" s="99">
        <f t="shared" si="64"/>
        <v>0</v>
      </c>
      <c r="I216" s="98">
        <f t="shared" si="67"/>
        <v>0</v>
      </c>
      <c r="K216" s="97">
        <f t="shared" si="68"/>
        <v>0</v>
      </c>
      <c r="L216" s="101">
        <v>0</v>
      </c>
      <c r="M216" s="96">
        <f t="shared" si="69"/>
        <v>0</v>
      </c>
      <c r="N216" s="101">
        <v>0</v>
      </c>
      <c r="P216" s="101">
        <v>0</v>
      </c>
      <c r="Q216" s="101">
        <v>0</v>
      </c>
      <c r="R216" s="101">
        <v>0</v>
      </c>
      <c r="S216" s="133"/>
      <c r="T216" s="133">
        <v>0</v>
      </c>
      <c r="U216" s="97">
        <f t="shared" si="70"/>
        <v>0</v>
      </c>
    </row>
    <row r="217" spans="1:21" ht="12" thickBot="1" x14ac:dyDescent="0.25">
      <c r="A217" s="81" t="s">
        <v>26</v>
      </c>
      <c r="B217" s="102">
        <f>SUM(B205:B216)</f>
        <v>1167834</v>
      </c>
      <c r="C217" s="102">
        <f>SUM(C205:C216)</f>
        <v>210911</v>
      </c>
      <c r="D217" s="102">
        <f>SUM(D205:D216)</f>
        <v>1167.8340000000001</v>
      </c>
      <c r="E217" s="102">
        <f>SUM(E205:E216)</f>
        <v>1037953</v>
      </c>
      <c r="F217" s="51"/>
      <c r="G217" s="102">
        <f>SUM(G205:G216)</f>
        <v>1197074.774</v>
      </c>
      <c r="H217" s="102">
        <f>SUM(H205:H216)</f>
        <v>1064181.7280000001</v>
      </c>
      <c r="I217" s="105">
        <f>SUM(I205:I216)</f>
        <v>118990.834</v>
      </c>
      <c r="K217" s="105">
        <f>SUM(K205:K216)</f>
        <v>248871.834</v>
      </c>
      <c r="L217" s="105">
        <f>SUM(L205:L216)</f>
        <v>0</v>
      </c>
      <c r="M217" s="105">
        <f>SUM(M205:M216)</f>
        <v>0</v>
      </c>
      <c r="N217" s="105">
        <f>SUM(N205:N216)</f>
        <v>81030</v>
      </c>
      <c r="P217" s="120">
        <f>SUM(P205:P216)</f>
        <v>36662</v>
      </c>
      <c r="Q217" s="120">
        <f>SUM(Q205:Q216)</f>
        <v>48510</v>
      </c>
      <c r="R217" s="120">
        <f>SUM(R205:R216)</f>
        <v>11225</v>
      </c>
      <c r="S217" s="120"/>
      <c r="T217" s="120">
        <f>SUM(T205:T216)</f>
        <v>21426</v>
      </c>
      <c r="U217" s="120">
        <f>SUM(U205:U216)</f>
        <v>1167.8340000000001</v>
      </c>
    </row>
    <row r="219" spans="1:21" x14ac:dyDescent="0.2">
      <c r="A219" s="68"/>
      <c r="B219" s="75"/>
      <c r="C219" s="75"/>
      <c r="D219" s="75"/>
      <c r="E219" s="75"/>
      <c r="F219" s="77"/>
      <c r="G219" s="75"/>
      <c r="H219" s="75"/>
      <c r="I219" s="106"/>
      <c r="K219" s="106"/>
      <c r="L219" s="106"/>
      <c r="M219" s="106"/>
      <c r="N219" s="106"/>
    </row>
    <row r="220" spans="1:21" ht="12" thickBot="1" x14ac:dyDescent="0.25"/>
    <row r="221" spans="1:21" ht="12" thickBot="1" x14ac:dyDescent="0.25">
      <c r="A221" s="63" t="s">
        <v>27</v>
      </c>
      <c r="B221" s="64" t="s">
        <v>84</v>
      </c>
      <c r="C221" s="64"/>
      <c r="D221" s="64"/>
      <c r="E221" s="84"/>
      <c r="G221" s="62"/>
      <c r="K221" s="85"/>
      <c r="N221" s="60">
        <v>9</v>
      </c>
    </row>
    <row r="222" spans="1:21" ht="12" thickBot="1" x14ac:dyDescent="0.25">
      <c r="A222" s="86" t="s">
        <v>1</v>
      </c>
      <c r="B222" s="108" t="s">
        <v>85</v>
      </c>
      <c r="C222" s="87"/>
      <c r="D222" s="116"/>
      <c r="E222" s="70"/>
      <c r="F222" s="77"/>
      <c r="G222" s="78"/>
      <c r="H222" s="79"/>
    </row>
    <row r="223" spans="1:21" ht="12" thickBot="1" x14ac:dyDescent="0.25">
      <c r="A223" s="88" t="s">
        <v>3</v>
      </c>
      <c r="B223" s="39" t="s">
        <v>4</v>
      </c>
      <c r="C223" s="77" t="s">
        <v>5</v>
      </c>
      <c r="D223" s="39" t="s">
        <v>90</v>
      </c>
      <c r="E223" s="114" t="s">
        <v>6</v>
      </c>
      <c r="F223" s="65" t="s">
        <v>7</v>
      </c>
      <c r="G223" s="39" t="s">
        <v>68</v>
      </c>
      <c r="H223" s="39" t="s">
        <v>8</v>
      </c>
      <c r="I223" s="43" t="s">
        <v>65</v>
      </c>
      <c r="K223" s="43" t="s">
        <v>71</v>
      </c>
      <c r="L223" s="43" t="s">
        <v>73</v>
      </c>
      <c r="M223" s="89" t="s">
        <v>75</v>
      </c>
      <c r="N223" s="43" t="s">
        <v>76</v>
      </c>
      <c r="P223" s="142" t="s">
        <v>92</v>
      </c>
      <c r="Q223" s="143"/>
      <c r="R223" s="143"/>
      <c r="S223" s="143"/>
      <c r="T223" s="143"/>
      <c r="U223" s="144"/>
    </row>
    <row r="224" spans="1:21" ht="12" thickBot="1" x14ac:dyDescent="0.25">
      <c r="A224" s="40"/>
      <c r="B224" s="41" t="s">
        <v>9</v>
      </c>
      <c r="C224" s="48" t="s">
        <v>10</v>
      </c>
      <c r="D224" s="41" t="s">
        <v>91</v>
      </c>
      <c r="E224" s="115" t="s">
        <v>67</v>
      </c>
      <c r="F224" s="73" t="s">
        <v>12</v>
      </c>
      <c r="G224" s="41" t="s">
        <v>69</v>
      </c>
      <c r="H224" s="41" t="s">
        <v>70</v>
      </c>
      <c r="I224" s="44" t="s">
        <v>66</v>
      </c>
      <c r="K224" s="44" t="s">
        <v>72</v>
      </c>
      <c r="L224" s="44" t="s">
        <v>74</v>
      </c>
      <c r="M224" s="90" t="s">
        <v>69</v>
      </c>
      <c r="N224" s="44" t="s">
        <v>77</v>
      </c>
      <c r="P224" s="121" t="s">
        <v>93</v>
      </c>
      <c r="Q224" s="122" t="s">
        <v>94</v>
      </c>
      <c r="R224" s="122" t="s">
        <v>95</v>
      </c>
      <c r="S224" s="130" t="s">
        <v>106</v>
      </c>
      <c r="T224" s="130" t="s">
        <v>96</v>
      </c>
      <c r="U224" s="134" t="s">
        <v>97</v>
      </c>
    </row>
    <row r="225" spans="1:21" ht="12.75" x14ac:dyDescent="0.2">
      <c r="A225" s="91" t="s">
        <v>14</v>
      </c>
      <c r="B225" s="92">
        <v>134750</v>
      </c>
      <c r="C225" s="93">
        <f>14230+809+9433-135</f>
        <v>24337</v>
      </c>
      <c r="D225" s="113">
        <f>B225*0.1%</f>
        <v>134.75</v>
      </c>
      <c r="E225" s="109">
        <f>B225-C225</f>
        <v>110413</v>
      </c>
      <c r="F225" s="125">
        <v>1.036</v>
      </c>
      <c r="G225" s="94">
        <f t="shared" ref="G225:G236" si="71">B225*F225</f>
        <v>139601</v>
      </c>
      <c r="H225" s="99">
        <f t="shared" ref="H225:H236" si="72">E225*F225</f>
        <v>114387.868</v>
      </c>
      <c r="I225" s="98">
        <f>P225+Q225+R225+T225+U225</f>
        <v>35006.75</v>
      </c>
      <c r="K225" s="97">
        <f>C225+I225</f>
        <v>59343.75</v>
      </c>
      <c r="L225" s="96">
        <v>0</v>
      </c>
      <c r="M225" s="96">
        <f>L225*F225</f>
        <v>0</v>
      </c>
      <c r="N225" s="96">
        <v>0</v>
      </c>
      <c r="P225" s="96">
        <v>11240</v>
      </c>
      <c r="Q225" s="96">
        <v>15631</v>
      </c>
      <c r="R225" s="96">
        <v>1432</v>
      </c>
      <c r="S225" s="131"/>
      <c r="T225" s="131">
        <v>6569</v>
      </c>
      <c r="U225" s="97">
        <f>D225</f>
        <v>134.75</v>
      </c>
    </row>
    <row r="226" spans="1:21" ht="12.75" x14ac:dyDescent="0.2">
      <c r="A226" s="91" t="s">
        <v>15</v>
      </c>
      <c r="B226" s="93">
        <v>0</v>
      </c>
      <c r="C226" s="93">
        <v>0</v>
      </c>
      <c r="D226" s="113">
        <f t="shared" ref="D226:D236" si="73">B226*0.1%</f>
        <v>0</v>
      </c>
      <c r="E226" s="110">
        <f>B226-C226</f>
        <v>0</v>
      </c>
      <c r="F226" s="126">
        <v>1.026</v>
      </c>
      <c r="G226" s="94">
        <f t="shared" si="71"/>
        <v>0</v>
      </c>
      <c r="H226" s="99">
        <f t="shared" si="72"/>
        <v>0</v>
      </c>
      <c r="I226" s="98">
        <f t="shared" ref="I226:I236" si="74">P226+Q226+R226+T226+U226</f>
        <v>32812</v>
      </c>
      <c r="K226" s="97">
        <f t="shared" ref="K226:K236" si="75">C226+I226</f>
        <v>32812</v>
      </c>
      <c r="L226" s="98">
        <v>0</v>
      </c>
      <c r="M226" s="96">
        <f t="shared" ref="M226:M236" si="76">L226*F226</f>
        <v>0</v>
      </c>
      <c r="N226" s="98">
        <v>0</v>
      </c>
      <c r="P226" s="98">
        <v>10376</v>
      </c>
      <c r="Q226" s="98">
        <v>16170</v>
      </c>
      <c r="R226" s="98">
        <v>202</v>
      </c>
      <c r="S226" s="132"/>
      <c r="T226" s="132">
        <v>6064</v>
      </c>
      <c r="U226" s="97">
        <f t="shared" ref="U226:U236" si="77">D226</f>
        <v>0</v>
      </c>
    </row>
    <row r="227" spans="1:21" ht="12.75" x14ac:dyDescent="0.2">
      <c r="A227" s="91" t="s">
        <v>16</v>
      </c>
      <c r="B227" s="99">
        <v>0</v>
      </c>
      <c r="C227" s="99">
        <v>0</v>
      </c>
      <c r="D227" s="113">
        <f t="shared" si="73"/>
        <v>0</v>
      </c>
      <c r="E227" s="110">
        <f t="shared" ref="E227:E236" si="78">B227-C227</f>
        <v>0</v>
      </c>
      <c r="F227" s="126">
        <v>1.022</v>
      </c>
      <c r="G227" s="94">
        <f t="shared" si="71"/>
        <v>0</v>
      </c>
      <c r="H227" s="99">
        <f t="shared" si="72"/>
        <v>0</v>
      </c>
      <c r="I227" s="98">
        <f t="shared" si="74"/>
        <v>32812</v>
      </c>
      <c r="K227" s="97">
        <f t="shared" si="75"/>
        <v>32812</v>
      </c>
      <c r="L227" s="98">
        <v>0</v>
      </c>
      <c r="M227" s="96">
        <f t="shared" si="76"/>
        <v>0</v>
      </c>
      <c r="N227" s="98">
        <v>0</v>
      </c>
      <c r="P227" s="98">
        <v>10376</v>
      </c>
      <c r="Q227" s="98">
        <v>16170</v>
      </c>
      <c r="R227" s="98">
        <v>202</v>
      </c>
      <c r="S227" s="132"/>
      <c r="T227" s="132">
        <v>6064</v>
      </c>
      <c r="U227" s="97">
        <f t="shared" si="77"/>
        <v>0</v>
      </c>
    </row>
    <row r="228" spans="1:21" ht="12.75" x14ac:dyDescent="0.2">
      <c r="A228" s="91" t="s">
        <v>17</v>
      </c>
      <c r="B228" s="99">
        <v>0</v>
      </c>
      <c r="C228" s="99">
        <v>0</v>
      </c>
      <c r="D228" s="113">
        <f t="shared" si="73"/>
        <v>0</v>
      </c>
      <c r="E228" s="110">
        <f t="shared" si="78"/>
        <v>0</v>
      </c>
      <c r="F228" s="126">
        <v>1.016</v>
      </c>
      <c r="G228" s="94">
        <f t="shared" si="71"/>
        <v>0</v>
      </c>
      <c r="H228" s="99">
        <f t="shared" si="72"/>
        <v>0</v>
      </c>
      <c r="I228" s="98">
        <f t="shared" si="74"/>
        <v>33351</v>
      </c>
      <c r="K228" s="97">
        <f t="shared" si="75"/>
        <v>33351</v>
      </c>
      <c r="L228" s="98">
        <v>0</v>
      </c>
      <c r="M228" s="96">
        <f t="shared" si="76"/>
        <v>0</v>
      </c>
      <c r="N228" s="98">
        <v>0</v>
      </c>
      <c r="P228" s="98">
        <v>10915</v>
      </c>
      <c r="Q228" s="98">
        <v>16170</v>
      </c>
      <c r="R228" s="98">
        <v>202</v>
      </c>
      <c r="S228" s="132"/>
      <c r="T228" s="132">
        <v>6064</v>
      </c>
      <c r="U228" s="97">
        <f t="shared" si="77"/>
        <v>0</v>
      </c>
    </row>
    <row r="229" spans="1:21" ht="12.75" x14ac:dyDescent="0.2">
      <c r="A229" s="91" t="s">
        <v>18</v>
      </c>
      <c r="B229" s="99">
        <v>0</v>
      </c>
      <c r="C229" s="93">
        <v>0</v>
      </c>
      <c r="D229" s="113">
        <f t="shared" si="73"/>
        <v>0</v>
      </c>
      <c r="E229" s="110">
        <f t="shared" si="78"/>
        <v>0</v>
      </c>
      <c r="F229" s="126">
        <v>1.014</v>
      </c>
      <c r="G229" s="94">
        <f t="shared" si="71"/>
        <v>0</v>
      </c>
      <c r="H229" s="99">
        <f t="shared" si="72"/>
        <v>0</v>
      </c>
      <c r="I229" s="98">
        <f t="shared" si="74"/>
        <v>22638</v>
      </c>
      <c r="K229" s="97">
        <f t="shared" si="75"/>
        <v>22638</v>
      </c>
      <c r="L229" s="98">
        <v>0</v>
      </c>
      <c r="M229" s="96">
        <f t="shared" si="76"/>
        <v>0</v>
      </c>
      <c r="N229" s="98">
        <v>0</v>
      </c>
      <c r="P229" s="98">
        <v>202</v>
      </c>
      <c r="Q229" s="98">
        <v>16170</v>
      </c>
      <c r="R229" s="98">
        <v>202</v>
      </c>
      <c r="S229" s="132"/>
      <c r="T229" s="132">
        <v>6064</v>
      </c>
      <c r="U229" s="97">
        <f t="shared" si="77"/>
        <v>0</v>
      </c>
    </row>
    <row r="230" spans="1:21" ht="12.75" x14ac:dyDescent="0.2">
      <c r="A230" s="91" t="s">
        <v>19</v>
      </c>
      <c r="B230" s="93">
        <v>0</v>
      </c>
      <c r="C230" s="93">
        <v>0</v>
      </c>
      <c r="D230" s="113">
        <f t="shared" si="73"/>
        <v>0</v>
      </c>
      <c r="E230" s="110">
        <f t="shared" si="78"/>
        <v>0</v>
      </c>
      <c r="F230" s="126">
        <v>1.012</v>
      </c>
      <c r="G230" s="94">
        <f t="shared" si="71"/>
        <v>0</v>
      </c>
      <c r="H230" s="99">
        <f t="shared" si="72"/>
        <v>0</v>
      </c>
      <c r="I230" s="98">
        <f t="shared" si="74"/>
        <v>34251</v>
      </c>
      <c r="K230" s="97">
        <f t="shared" si="75"/>
        <v>34251</v>
      </c>
      <c r="L230" s="98">
        <v>0</v>
      </c>
      <c r="M230" s="96">
        <f t="shared" si="76"/>
        <v>0</v>
      </c>
      <c r="N230" s="98">
        <v>0</v>
      </c>
      <c r="P230" s="98">
        <v>11209</v>
      </c>
      <c r="Q230" s="98">
        <v>16607</v>
      </c>
      <c r="R230" s="98">
        <v>208</v>
      </c>
      <c r="S230" s="132"/>
      <c r="T230" s="132">
        <v>6227</v>
      </c>
      <c r="U230" s="97">
        <f t="shared" si="77"/>
        <v>0</v>
      </c>
    </row>
    <row r="231" spans="1:21" ht="12.75" x14ac:dyDescent="0.2">
      <c r="A231" s="91" t="s">
        <v>20</v>
      </c>
      <c r="B231" s="93">
        <v>0</v>
      </c>
      <c r="C231" s="93">
        <v>0</v>
      </c>
      <c r="D231" s="113">
        <f t="shared" si="73"/>
        <v>0</v>
      </c>
      <c r="E231" s="110">
        <f t="shared" si="78"/>
        <v>0</v>
      </c>
      <c r="F231" s="126">
        <v>1.0169999999999999</v>
      </c>
      <c r="G231" s="94">
        <f t="shared" si="71"/>
        <v>0</v>
      </c>
      <c r="H231" s="99">
        <f t="shared" si="72"/>
        <v>0</v>
      </c>
      <c r="I231" s="98">
        <f t="shared" si="74"/>
        <v>36881</v>
      </c>
      <c r="K231" s="97">
        <f t="shared" si="75"/>
        <v>36881</v>
      </c>
      <c r="L231" s="98">
        <v>0</v>
      </c>
      <c r="M231" s="96">
        <f t="shared" si="76"/>
        <v>0</v>
      </c>
      <c r="N231" s="98">
        <v>0</v>
      </c>
      <c r="P231" s="98">
        <v>13839</v>
      </c>
      <c r="Q231" s="98">
        <v>16607</v>
      </c>
      <c r="R231" s="98">
        <v>208</v>
      </c>
      <c r="S231" s="132"/>
      <c r="T231" s="132">
        <v>6227</v>
      </c>
      <c r="U231" s="97">
        <f t="shared" si="77"/>
        <v>0</v>
      </c>
    </row>
    <row r="232" spans="1:21" ht="12.75" x14ac:dyDescent="0.2">
      <c r="A232" s="91" t="s">
        <v>21</v>
      </c>
      <c r="B232" s="93"/>
      <c r="C232" s="93"/>
      <c r="D232" s="113">
        <f t="shared" si="73"/>
        <v>0</v>
      </c>
      <c r="E232" s="110">
        <f t="shared" si="78"/>
        <v>0</v>
      </c>
      <c r="F232" s="126">
        <v>1.008</v>
      </c>
      <c r="G232" s="94">
        <f t="shared" si="71"/>
        <v>0</v>
      </c>
      <c r="H232" s="99">
        <f t="shared" si="72"/>
        <v>0</v>
      </c>
      <c r="I232" s="98">
        <f t="shared" si="74"/>
        <v>0</v>
      </c>
      <c r="K232" s="97">
        <f t="shared" si="75"/>
        <v>0</v>
      </c>
      <c r="L232" s="98">
        <v>0</v>
      </c>
      <c r="M232" s="96">
        <f t="shared" si="76"/>
        <v>0</v>
      </c>
      <c r="N232" s="98">
        <v>0</v>
      </c>
      <c r="P232" s="98"/>
      <c r="Q232" s="98"/>
      <c r="R232" s="98"/>
      <c r="S232" s="132"/>
      <c r="T232" s="132"/>
      <c r="U232" s="97">
        <f t="shared" si="77"/>
        <v>0</v>
      </c>
    </row>
    <row r="233" spans="1:21" ht="12.75" x14ac:dyDescent="0.2">
      <c r="A233" s="91" t="s">
        <v>22</v>
      </c>
      <c r="B233" s="93"/>
      <c r="C233" s="93"/>
      <c r="D233" s="113">
        <f t="shared" si="73"/>
        <v>0</v>
      </c>
      <c r="E233" s="110">
        <f t="shared" si="78"/>
        <v>0</v>
      </c>
      <c r="F233" s="126">
        <v>1.0069999999999999</v>
      </c>
      <c r="G233" s="94">
        <f t="shared" si="71"/>
        <v>0</v>
      </c>
      <c r="H233" s="99">
        <f t="shared" si="72"/>
        <v>0</v>
      </c>
      <c r="I233" s="98">
        <f t="shared" si="74"/>
        <v>0</v>
      </c>
      <c r="K233" s="97">
        <f t="shared" si="75"/>
        <v>0</v>
      </c>
      <c r="L233" s="98">
        <v>0</v>
      </c>
      <c r="M233" s="96">
        <f t="shared" si="76"/>
        <v>0</v>
      </c>
      <c r="N233" s="98">
        <v>0</v>
      </c>
      <c r="P233" s="98"/>
      <c r="Q233" s="98"/>
      <c r="R233" s="98"/>
      <c r="S233" s="132"/>
      <c r="T233" s="132"/>
      <c r="U233" s="97">
        <f t="shared" si="77"/>
        <v>0</v>
      </c>
    </row>
    <row r="234" spans="1:21" ht="12.75" x14ac:dyDescent="0.2">
      <c r="A234" s="91" t="s">
        <v>23</v>
      </c>
      <c r="B234" s="93"/>
      <c r="C234" s="99"/>
      <c r="D234" s="113">
        <f t="shared" si="73"/>
        <v>0</v>
      </c>
      <c r="E234" s="110">
        <f t="shared" si="78"/>
        <v>0</v>
      </c>
      <c r="F234" s="126">
        <v>1.0029999999999999</v>
      </c>
      <c r="G234" s="94">
        <f t="shared" si="71"/>
        <v>0</v>
      </c>
      <c r="H234" s="99">
        <f t="shared" si="72"/>
        <v>0</v>
      </c>
      <c r="I234" s="98">
        <f t="shared" si="74"/>
        <v>0</v>
      </c>
      <c r="K234" s="97">
        <f t="shared" si="75"/>
        <v>0</v>
      </c>
      <c r="L234" s="98">
        <v>0</v>
      </c>
      <c r="M234" s="96">
        <f t="shared" si="76"/>
        <v>0</v>
      </c>
      <c r="N234" s="98">
        <v>0</v>
      </c>
      <c r="P234" s="98"/>
      <c r="Q234" s="98"/>
      <c r="R234" s="98"/>
      <c r="S234" s="132"/>
      <c r="T234" s="132"/>
      <c r="U234" s="97">
        <f t="shared" si="77"/>
        <v>0</v>
      </c>
    </row>
    <row r="235" spans="1:21" ht="12.75" x14ac:dyDescent="0.2">
      <c r="A235" s="91" t="s">
        <v>24</v>
      </c>
      <c r="B235" s="93"/>
      <c r="C235" s="93"/>
      <c r="D235" s="113">
        <f t="shared" si="73"/>
        <v>0</v>
      </c>
      <c r="E235" s="110">
        <f t="shared" si="78"/>
        <v>0</v>
      </c>
      <c r="F235" s="126">
        <v>1.0029999999999999</v>
      </c>
      <c r="G235" s="94">
        <f t="shared" si="71"/>
        <v>0</v>
      </c>
      <c r="H235" s="99">
        <f t="shared" si="72"/>
        <v>0</v>
      </c>
      <c r="I235" s="98">
        <f t="shared" si="74"/>
        <v>0</v>
      </c>
      <c r="K235" s="97">
        <f t="shared" si="75"/>
        <v>0</v>
      </c>
      <c r="L235" s="98">
        <v>0</v>
      </c>
      <c r="M235" s="96">
        <f t="shared" si="76"/>
        <v>0</v>
      </c>
      <c r="N235" s="98">
        <v>0</v>
      </c>
      <c r="P235" s="98"/>
      <c r="Q235" s="98"/>
      <c r="R235" s="98"/>
      <c r="S235" s="132"/>
      <c r="T235" s="132"/>
      <c r="U235" s="97">
        <f t="shared" si="77"/>
        <v>0</v>
      </c>
    </row>
    <row r="236" spans="1:21" ht="13.5" thickBot="1" x14ac:dyDescent="0.25">
      <c r="A236" s="100" t="s">
        <v>25</v>
      </c>
      <c r="B236" s="93"/>
      <c r="C236" s="93"/>
      <c r="D236" s="113">
        <f t="shared" si="73"/>
        <v>0</v>
      </c>
      <c r="E236" s="110">
        <f t="shared" si="78"/>
        <v>0</v>
      </c>
      <c r="F236" s="127">
        <v>1</v>
      </c>
      <c r="G236" s="94">
        <f t="shared" si="71"/>
        <v>0</v>
      </c>
      <c r="H236" s="99">
        <f t="shared" si="72"/>
        <v>0</v>
      </c>
      <c r="I236" s="98">
        <f t="shared" si="74"/>
        <v>0</v>
      </c>
      <c r="K236" s="97">
        <f t="shared" si="75"/>
        <v>0</v>
      </c>
      <c r="L236" s="101">
        <v>0</v>
      </c>
      <c r="M236" s="96">
        <f t="shared" si="76"/>
        <v>0</v>
      </c>
      <c r="N236" s="101">
        <v>0</v>
      </c>
      <c r="P236" s="101"/>
      <c r="Q236" s="101"/>
      <c r="R236" s="101"/>
      <c r="S236" s="133"/>
      <c r="T236" s="133"/>
      <c r="U236" s="97">
        <f t="shared" si="77"/>
        <v>0</v>
      </c>
    </row>
    <row r="237" spans="1:21" ht="12" thickBot="1" x14ac:dyDescent="0.25">
      <c r="A237" s="81" t="s">
        <v>26</v>
      </c>
      <c r="B237" s="102">
        <f>SUM(B225:B236)</f>
        <v>134750</v>
      </c>
      <c r="C237" s="103">
        <f>SUM(C225:C236)</f>
        <v>24337</v>
      </c>
      <c r="D237" s="102">
        <f>SUM(D225:D236)</f>
        <v>134.75</v>
      </c>
      <c r="E237" s="102">
        <f>SUM(E225:E236)</f>
        <v>110413</v>
      </c>
      <c r="F237" s="51"/>
      <c r="G237" s="102">
        <f>SUM(G225:G236)</f>
        <v>139601</v>
      </c>
      <c r="H237" s="102">
        <f>SUM(H225:H236)</f>
        <v>114387.868</v>
      </c>
      <c r="I237" s="105">
        <f>SUM(I225:I236)</f>
        <v>227751.75</v>
      </c>
      <c r="K237" s="105">
        <f>SUM(K225:K236)</f>
        <v>252088.75</v>
      </c>
      <c r="L237" s="105">
        <f>SUM(L225:L236)</f>
        <v>0</v>
      </c>
      <c r="M237" s="105">
        <f>SUM(M225:M236)</f>
        <v>0</v>
      </c>
      <c r="N237" s="105">
        <f>SUM(N225:N236)</f>
        <v>0</v>
      </c>
      <c r="P237" s="120">
        <f>SUM(P225:P236)</f>
        <v>68157</v>
      </c>
      <c r="Q237" s="120">
        <f>SUM(Q225:Q236)</f>
        <v>113525</v>
      </c>
      <c r="R237" s="120">
        <f>SUM(R225:R236)</f>
        <v>2656</v>
      </c>
      <c r="S237" s="120"/>
      <c r="T237" s="120">
        <f>SUM(T225:T236)</f>
        <v>43279</v>
      </c>
      <c r="U237" s="120">
        <f>SUM(U225:U236)</f>
        <v>134.75</v>
      </c>
    </row>
    <row r="240" spans="1:21" ht="12" thickBot="1" x14ac:dyDescent="0.25"/>
    <row r="241" spans="1:21" x14ac:dyDescent="0.2">
      <c r="A241" s="63" t="s">
        <v>27</v>
      </c>
      <c r="B241" s="64" t="s">
        <v>86</v>
      </c>
      <c r="C241" s="64"/>
      <c r="D241" s="64"/>
      <c r="E241" s="84"/>
      <c r="G241" s="62"/>
      <c r="K241" s="85"/>
      <c r="N241" s="60">
        <v>10</v>
      </c>
    </row>
    <row r="242" spans="1:21" ht="12" thickBot="1" x14ac:dyDescent="0.25">
      <c r="A242" s="86" t="s">
        <v>1</v>
      </c>
      <c r="B242" s="108" t="s">
        <v>87</v>
      </c>
      <c r="C242" s="87"/>
      <c r="D242" s="75"/>
      <c r="E242" s="70"/>
      <c r="F242" s="77"/>
      <c r="G242" s="78"/>
      <c r="H242" s="79"/>
    </row>
    <row r="243" spans="1:21" ht="12" thickBot="1" x14ac:dyDescent="0.25">
      <c r="A243" s="88" t="s">
        <v>3</v>
      </c>
      <c r="B243" s="39" t="s">
        <v>4</v>
      </c>
      <c r="C243" s="77" t="s">
        <v>5</v>
      </c>
      <c r="D243" s="39" t="s">
        <v>90</v>
      </c>
      <c r="E243" s="39" t="s">
        <v>6</v>
      </c>
      <c r="F243" s="65" t="s">
        <v>7</v>
      </c>
      <c r="G243" s="39" t="s">
        <v>68</v>
      </c>
      <c r="H243" s="39" t="s">
        <v>8</v>
      </c>
      <c r="I243" s="43" t="s">
        <v>65</v>
      </c>
      <c r="K243" s="43" t="s">
        <v>71</v>
      </c>
      <c r="L243" s="43" t="s">
        <v>73</v>
      </c>
      <c r="M243" s="89" t="s">
        <v>75</v>
      </c>
      <c r="N243" s="43" t="s">
        <v>76</v>
      </c>
      <c r="P243" s="142" t="s">
        <v>92</v>
      </c>
      <c r="Q243" s="143"/>
      <c r="R243" s="143"/>
      <c r="S243" s="143"/>
      <c r="T243" s="143"/>
      <c r="U243" s="144"/>
    </row>
    <row r="244" spans="1:21" ht="12" thickBot="1" x14ac:dyDescent="0.25">
      <c r="A244" s="40"/>
      <c r="B244" s="41" t="s">
        <v>9</v>
      </c>
      <c r="C244" s="48" t="s">
        <v>10</v>
      </c>
      <c r="D244" s="41" t="s">
        <v>91</v>
      </c>
      <c r="E244" s="41" t="s">
        <v>67</v>
      </c>
      <c r="F244" s="73" t="s">
        <v>12</v>
      </c>
      <c r="G244" s="41" t="s">
        <v>69</v>
      </c>
      <c r="H244" s="41" t="s">
        <v>70</v>
      </c>
      <c r="I244" s="44" t="s">
        <v>66</v>
      </c>
      <c r="K244" s="44" t="s">
        <v>72</v>
      </c>
      <c r="L244" s="44" t="s">
        <v>74</v>
      </c>
      <c r="M244" s="90" t="s">
        <v>69</v>
      </c>
      <c r="N244" s="44" t="s">
        <v>77</v>
      </c>
      <c r="P244" s="121" t="s">
        <v>93</v>
      </c>
      <c r="Q244" s="122" t="s">
        <v>94</v>
      </c>
      <c r="R244" s="122" t="s">
        <v>95</v>
      </c>
      <c r="S244" s="130" t="s">
        <v>106</v>
      </c>
      <c r="T244" s="130" t="s">
        <v>96</v>
      </c>
      <c r="U244" s="134" t="s">
        <v>97</v>
      </c>
    </row>
    <row r="245" spans="1:21" ht="12.75" x14ac:dyDescent="0.2">
      <c r="A245" s="91" t="s">
        <v>14</v>
      </c>
      <c r="B245" s="92">
        <v>651291</v>
      </c>
      <c r="C245" s="93">
        <f>68776+3908+45590-651</f>
        <v>117623</v>
      </c>
      <c r="D245" s="113">
        <f>B245*0.1%</f>
        <v>651.29100000000005</v>
      </c>
      <c r="E245" s="109">
        <f>B245-C245</f>
        <v>533668</v>
      </c>
      <c r="F245" s="125">
        <v>1.036</v>
      </c>
      <c r="G245" s="94">
        <f t="shared" ref="G245:G256" si="79">B245*F245</f>
        <v>674737.47600000002</v>
      </c>
      <c r="H245" s="99">
        <f t="shared" ref="H245:H256" si="80">E245*F245</f>
        <v>552880.04800000007</v>
      </c>
      <c r="I245" s="98">
        <f>P245+Q245+R245+T245+U245</f>
        <v>38231.290999999997</v>
      </c>
      <c r="K245" s="97">
        <f>C245+I245</f>
        <v>155854.291</v>
      </c>
      <c r="L245" s="96">
        <v>0</v>
      </c>
      <c r="M245" s="96">
        <f>L245*F245</f>
        <v>0</v>
      </c>
      <c r="N245" s="96">
        <v>0</v>
      </c>
      <c r="P245" s="96">
        <v>10030</v>
      </c>
      <c r="Q245" s="96">
        <v>15631</v>
      </c>
      <c r="R245" s="96">
        <v>6057</v>
      </c>
      <c r="S245" s="131"/>
      <c r="T245" s="131">
        <v>5862</v>
      </c>
      <c r="U245" s="97">
        <f>D245</f>
        <v>651.29100000000005</v>
      </c>
    </row>
    <row r="246" spans="1:21" ht="12.75" x14ac:dyDescent="0.2">
      <c r="A246" s="91" t="s">
        <v>15</v>
      </c>
      <c r="B246" s="93">
        <v>673750</v>
      </c>
      <c r="C246" s="93">
        <f>71148+4043+47163-674</f>
        <v>121680</v>
      </c>
      <c r="D246" s="113">
        <f t="shared" ref="D246:D256" si="81">B246*0.1%</f>
        <v>673.75</v>
      </c>
      <c r="E246" s="110">
        <f>B246-C246</f>
        <v>552070</v>
      </c>
      <c r="F246" s="126">
        <v>1.026</v>
      </c>
      <c r="G246" s="94">
        <f t="shared" si="79"/>
        <v>691267.5</v>
      </c>
      <c r="H246" s="99">
        <f t="shared" si="80"/>
        <v>566423.82000000007</v>
      </c>
      <c r="I246" s="98">
        <f t="shared" ref="I246:I256" si="82">P246+Q246+R246+T246+U246</f>
        <v>39549.75</v>
      </c>
      <c r="K246" s="97">
        <f t="shared" ref="K246:K256" si="83">C246+I246</f>
        <v>161229.75</v>
      </c>
      <c r="L246" s="98">
        <v>0</v>
      </c>
      <c r="M246" s="96">
        <f t="shared" ref="M246:M256" si="84">L246*F246</f>
        <v>0</v>
      </c>
      <c r="N246" s="98">
        <v>0</v>
      </c>
      <c r="P246" s="98">
        <v>10376</v>
      </c>
      <c r="Q246" s="98">
        <v>16170</v>
      </c>
      <c r="R246" s="98">
        <v>6266</v>
      </c>
      <c r="S246" s="132"/>
      <c r="T246" s="132">
        <v>6064</v>
      </c>
      <c r="U246" s="97">
        <f t="shared" ref="U246:U256" si="85">D246</f>
        <v>673.75</v>
      </c>
    </row>
    <row r="247" spans="1:21" ht="12.75" x14ac:dyDescent="0.2">
      <c r="A247" s="91" t="s">
        <v>16</v>
      </c>
      <c r="B247" s="99">
        <v>673750</v>
      </c>
      <c r="C247" s="99">
        <f>71148+4043+47163-674</f>
        <v>121680</v>
      </c>
      <c r="D247" s="113">
        <f t="shared" si="81"/>
        <v>673.75</v>
      </c>
      <c r="E247" s="110">
        <f t="shared" ref="E247:E256" si="86">B247-C247</f>
        <v>552070</v>
      </c>
      <c r="F247" s="126">
        <v>1.022</v>
      </c>
      <c r="G247" s="94">
        <f t="shared" si="79"/>
        <v>688572.5</v>
      </c>
      <c r="H247" s="99">
        <f t="shared" si="80"/>
        <v>564215.54</v>
      </c>
      <c r="I247" s="98">
        <f t="shared" si="82"/>
        <v>39549.75</v>
      </c>
      <c r="K247" s="97">
        <f t="shared" si="83"/>
        <v>161229.75</v>
      </c>
      <c r="L247" s="98">
        <v>0</v>
      </c>
      <c r="M247" s="96">
        <f t="shared" si="84"/>
        <v>0</v>
      </c>
      <c r="N247" s="98">
        <v>0</v>
      </c>
      <c r="P247" s="98">
        <v>10376</v>
      </c>
      <c r="Q247" s="98">
        <v>16170</v>
      </c>
      <c r="R247" s="98">
        <v>6266</v>
      </c>
      <c r="S247" s="132"/>
      <c r="T247" s="132">
        <v>6064</v>
      </c>
      <c r="U247" s="97">
        <f t="shared" si="85"/>
        <v>673.75</v>
      </c>
    </row>
    <row r="248" spans="1:21" ht="12.75" x14ac:dyDescent="0.2">
      <c r="A248" s="91" t="s">
        <v>17</v>
      </c>
      <c r="B248" s="99">
        <v>673750</v>
      </c>
      <c r="C248" s="99">
        <f>71148+4043+47163-674</f>
        <v>121680</v>
      </c>
      <c r="D248" s="113">
        <f t="shared" si="81"/>
        <v>673.75</v>
      </c>
      <c r="E248" s="110">
        <f t="shared" si="86"/>
        <v>552070</v>
      </c>
      <c r="F248" s="126">
        <v>1.016</v>
      </c>
      <c r="G248" s="94">
        <f t="shared" si="79"/>
        <v>684530</v>
      </c>
      <c r="H248" s="99">
        <f t="shared" si="80"/>
        <v>560903.12</v>
      </c>
      <c r="I248" s="98">
        <f t="shared" si="82"/>
        <v>40088.75</v>
      </c>
      <c r="K248" s="97">
        <f t="shared" si="83"/>
        <v>161768.75</v>
      </c>
      <c r="L248" s="98">
        <v>0</v>
      </c>
      <c r="M248" s="96">
        <f t="shared" si="84"/>
        <v>0</v>
      </c>
      <c r="N248" s="98">
        <v>0</v>
      </c>
      <c r="P248" s="98">
        <v>10915</v>
      </c>
      <c r="Q248" s="98">
        <v>16170</v>
      </c>
      <c r="R248" s="98">
        <v>6266</v>
      </c>
      <c r="S248" s="132"/>
      <c r="T248" s="132">
        <v>6064</v>
      </c>
      <c r="U248" s="97">
        <f t="shared" si="85"/>
        <v>673.75</v>
      </c>
    </row>
    <row r="249" spans="1:21" ht="12.75" x14ac:dyDescent="0.2">
      <c r="A249" s="91" t="s">
        <v>18</v>
      </c>
      <c r="B249" s="99">
        <v>673750</v>
      </c>
      <c r="C249" s="93">
        <f>71148+4043+47163-D249</f>
        <v>121680.25</v>
      </c>
      <c r="D249" s="113">
        <f t="shared" si="81"/>
        <v>673.75</v>
      </c>
      <c r="E249" s="110">
        <f t="shared" si="86"/>
        <v>552069.75</v>
      </c>
      <c r="F249" s="126">
        <v>1.014</v>
      </c>
      <c r="G249" s="94">
        <f t="shared" si="79"/>
        <v>683182.5</v>
      </c>
      <c r="H249" s="99">
        <f t="shared" si="80"/>
        <v>559798.72649999999</v>
      </c>
      <c r="I249" s="98">
        <f t="shared" si="82"/>
        <v>40088.75</v>
      </c>
      <c r="K249" s="97">
        <f t="shared" si="83"/>
        <v>161769</v>
      </c>
      <c r="L249" s="98">
        <v>0</v>
      </c>
      <c r="M249" s="96">
        <f t="shared" si="84"/>
        <v>0</v>
      </c>
      <c r="N249" s="98">
        <v>0</v>
      </c>
      <c r="P249" s="98">
        <v>10915</v>
      </c>
      <c r="Q249" s="98">
        <v>16170</v>
      </c>
      <c r="R249" s="98">
        <v>6266</v>
      </c>
      <c r="S249" s="132"/>
      <c r="T249" s="132">
        <v>6064</v>
      </c>
      <c r="U249" s="97">
        <f t="shared" si="85"/>
        <v>673.75</v>
      </c>
    </row>
    <row r="250" spans="1:21" ht="12.75" x14ac:dyDescent="0.2">
      <c r="A250" s="91" t="s">
        <v>19</v>
      </c>
      <c r="B250" s="93">
        <v>710133</v>
      </c>
      <c r="C250" s="93">
        <f>74990+4261+49709-D250</f>
        <v>128249.867</v>
      </c>
      <c r="D250" s="113">
        <f t="shared" si="81"/>
        <v>710.13300000000004</v>
      </c>
      <c r="E250" s="110">
        <f t="shared" si="86"/>
        <v>581883.13300000003</v>
      </c>
      <c r="F250" s="126">
        <v>1.012</v>
      </c>
      <c r="G250" s="94">
        <f t="shared" si="79"/>
        <v>718654.59600000002</v>
      </c>
      <c r="H250" s="99">
        <f t="shared" si="80"/>
        <v>588865.73059599998</v>
      </c>
      <c r="I250" s="98">
        <f t="shared" si="82"/>
        <v>42252.133000000002</v>
      </c>
      <c r="K250" s="97">
        <f t="shared" si="83"/>
        <v>170502</v>
      </c>
      <c r="L250" s="98">
        <v>0</v>
      </c>
      <c r="M250" s="96">
        <f t="shared" si="84"/>
        <v>0</v>
      </c>
      <c r="N250" s="98">
        <v>0</v>
      </c>
      <c r="P250" s="98">
        <v>11504</v>
      </c>
      <c r="Q250" s="98">
        <v>17043</v>
      </c>
      <c r="R250" s="98">
        <v>6604</v>
      </c>
      <c r="S250" s="132"/>
      <c r="T250" s="132">
        <v>6391</v>
      </c>
      <c r="U250" s="97">
        <f t="shared" si="85"/>
        <v>710.13300000000004</v>
      </c>
    </row>
    <row r="251" spans="1:21" ht="12.75" x14ac:dyDescent="0.2">
      <c r="A251" s="91" t="s">
        <v>20</v>
      </c>
      <c r="B251" s="93">
        <v>691941</v>
      </c>
      <c r="C251" s="93">
        <f>73069+4152+48436-D251</f>
        <v>124965.05899999999</v>
      </c>
      <c r="D251" s="113">
        <f t="shared" si="81"/>
        <v>691.94100000000003</v>
      </c>
      <c r="E251" s="110">
        <f t="shared" si="86"/>
        <v>566975.94099999999</v>
      </c>
      <c r="F251" s="126">
        <v>1.0169999999999999</v>
      </c>
      <c r="G251" s="94">
        <f t="shared" si="79"/>
        <v>703703.99699999997</v>
      </c>
      <c r="H251" s="99">
        <f t="shared" si="80"/>
        <v>576614.53199699998</v>
      </c>
      <c r="I251" s="98">
        <f t="shared" si="82"/>
        <v>43799.940999999999</v>
      </c>
      <c r="K251" s="97">
        <f t="shared" si="83"/>
        <v>168765</v>
      </c>
      <c r="L251" s="98">
        <v>0</v>
      </c>
      <c r="M251" s="96">
        <f t="shared" si="84"/>
        <v>0</v>
      </c>
      <c r="N251" s="98">
        <v>0</v>
      </c>
      <c r="P251" s="98">
        <v>13839</v>
      </c>
      <c r="Q251" s="98">
        <v>16607</v>
      </c>
      <c r="R251" s="98">
        <v>6435</v>
      </c>
      <c r="S251" s="132"/>
      <c r="T251" s="132">
        <v>6227</v>
      </c>
      <c r="U251" s="97">
        <f t="shared" si="85"/>
        <v>691.94100000000003</v>
      </c>
    </row>
    <row r="252" spans="1:21" ht="12.75" x14ac:dyDescent="0.2">
      <c r="A252" s="91" t="s">
        <v>21</v>
      </c>
      <c r="B252" s="93"/>
      <c r="C252" s="93"/>
      <c r="D252" s="113">
        <f t="shared" si="81"/>
        <v>0</v>
      </c>
      <c r="E252" s="110">
        <f t="shared" si="86"/>
        <v>0</v>
      </c>
      <c r="F252" s="126">
        <v>1.008</v>
      </c>
      <c r="G252" s="94">
        <f t="shared" si="79"/>
        <v>0</v>
      </c>
      <c r="H252" s="99">
        <f t="shared" si="80"/>
        <v>0</v>
      </c>
      <c r="I252" s="98">
        <f t="shared" si="82"/>
        <v>0</v>
      </c>
      <c r="K252" s="97">
        <f t="shared" si="83"/>
        <v>0</v>
      </c>
      <c r="L252" s="98">
        <v>0</v>
      </c>
      <c r="M252" s="96">
        <f t="shared" si="84"/>
        <v>0</v>
      </c>
      <c r="N252" s="98">
        <v>0</v>
      </c>
      <c r="P252" s="98"/>
      <c r="Q252" s="98"/>
      <c r="R252" s="98"/>
      <c r="S252" s="132"/>
      <c r="T252" s="132"/>
      <c r="U252" s="97">
        <f t="shared" si="85"/>
        <v>0</v>
      </c>
    </row>
    <row r="253" spans="1:21" ht="12.75" x14ac:dyDescent="0.2">
      <c r="A253" s="91" t="s">
        <v>22</v>
      </c>
      <c r="B253" s="93"/>
      <c r="C253" s="93"/>
      <c r="D253" s="113">
        <f t="shared" si="81"/>
        <v>0</v>
      </c>
      <c r="E253" s="110">
        <f t="shared" si="86"/>
        <v>0</v>
      </c>
      <c r="F253" s="126">
        <v>1.0069999999999999</v>
      </c>
      <c r="G253" s="94">
        <f t="shared" si="79"/>
        <v>0</v>
      </c>
      <c r="H253" s="99">
        <f t="shared" si="80"/>
        <v>0</v>
      </c>
      <c r="I253" s="98">
        <f t="shared" si="82"/>
        <v>0</v>
      </c>
      <c r="K253" s="97">
        <f t="shared" si="83"/>
        <v>0</v>
      </c>
      <c r="L253" s="98">
        <v>0</v>
      </c>
      <c r="M253" s="96">
        <f t="shared" si="84"/>
        <v>0</v>
      </c>
      <c r="N253" s="98">
        <v>0</v>
      </c>
      <c r="P253" s="98"/>
      <c r="Q253" s="98"/>
      <c r="R253" s="98"/>
      <c r="S253" s="132"/>
      <c r="T253" s="132"/>
      <c r="U253" s="97">
        <f t="shared" si="85"/>
        <v>0</v>
      </c>
    </row>
    <row r="254" spans="1:21" ht="12.75" x14ac:dyDescent="0.2">
      <c r="A254" s="91" t="s">
        <v>23</v>
      </c>
      <c r="B254" s="93"/>
      <c r="C254" s="99"/>
      <c r="D254" s="113">
        <f t="shared" si="81"/>
        <v>0</v>
      </c>
      <c r="E254" s="110">
        <f t="shared" si="86"/>
        <v>0</v>
      </c>
      <c r="F254" s="126">
        <v>1.0029999999999999</v>
      </c>
      <c r="G254" s="94">
        <f t="shared" si="79"/>
        <v>0</v>
      </c>
      <c r="H254" s="99">
        <f t="shared" si="80"/>
        <v>0</v>
      </c>
      <c r="I254" s="98">
        <f t="shared" si="82"/>
        <v>0</v>
      </c>
      <c r="K254" s="97">
        <f t="shared" si="83"/>
        <v>0</v>
      </c>
      <c r="L254" s="98">
        <v>0</v>
      </c>
      <c r="M254" s="96">
        <f t="shared" si="84"/>
        <v>0</v>
      </c>
      <c r="N254" s="98">
        <v>0</v>
      </c>
      <c r="P254" s="98"/>
      <c r="Q254" s="98"/>
      <c r="R254" s="98"/>
      <c r="S254" s="132"/>
      <c r="T254" s="132"/>
      <c r="U254" s="97">
        <f t="shared" si="85"/>
        <v>0</v>
      </c>
    </row>
    <row r="255" spans="1:21" ht="12.75" x14ac:dyDescent="0.2">
      <c r="A255" s="91" t="s">
        <v>24</v>
      </c>
      <c r="B255" s="93"/>
      <c r="C255" s="93"/>
      <c r="D255" s="113">
        <f t="shared" si="81"/>
        <v>0</v>
      </c>
      <c r="E255" s="110">
        <f t="shared" si="86"/>
        <v>0</v>
      </c>
      <c r="F255" s="126">
        <v>1.0029999999999999</v>
      </c>
      <c r="G255" s="94">
        <f t="shared" si="79"/>
        <v>0</v>
      </c>
      <c r="H255" s="99">
        <f t="shared" si="80"/>
        <v>0</v>
      </c>
      <c r="I255" s="98">
        <f t="shared" si="82"/>
        <v>0</v>
      </c>
      <c r="K255" s="97">
        <f t="shared" si="83"/>
        <v>0</v>
      </c>
      <c r="L255" s="98">
        <v>0</v>
      </c>
      <c r="M255" s="96">
        <f t="shared" si="84"/>
        <v>0</v>
      </c>
      <c r="N255" s="98">
        <v>0</v>
      </c>
      <c r="P255" s="98"/>
      <c r="Q255" s="98"/>
      <c r="R255" s="98"/>
      <c r="S255" s="132"/>
      <c r="T255" s="132"/>
      <c r="U255" s="97">
        <f t="shared" si="85"/>
        <v>0</v>
      </c>
    </row>
    <row r="256" spans="1:21" ht="13.5" thickBot="1" x14ac:dyDescent="0.25">
      <c r="A256" s="100" t="s">
        <v>25</v>
      </c>
      <c r="B256" s="93"/>
      <c r="C256" s="93"/>
      <c r="D256" s="113">
        <f t="shared" si="81"/>
        <v>0</v>
      </c>
      <c r="E256" s="110">
        <f t="shared" si="86"/>
        <v>0</v>
      </c>
      <c r="F256" s="127">
        <v>1</v>
      </c>
      <c r="G256" s="94">
        <f t="shared" si="79"/>
        <v>0</v>
      </c>
      <c r="H256" s="99">
        <f t="shared" si="80"/>
        <v>0</v>
      </c>
      <c r="I256" s="98">
        <f t="shared" si="82"/>
        <v>0</v>
      </c>
      <c r="K256" s="97">
        <f t="shared" si="83"/>
        <v>0</v>
      </c>
      <c r="L256" s="101">
        <v>0</v>
      </c>
      <c r="M256" s="96">
        <f t="shared" si="84"/>
        <v>0</v>
      </c>
      <c r="N256" s="101">
        <v>0</v>
      </c>
      <c r="P256" s="101"/>
      <c r="Q256" s="101"/>
      <c r="R256" s="101"/>
      <c r="S256" s="133"/>
      <c r="T256" s="133"/>
      <c r="U256" s="97">
        <f t="shared" si="85"/>
        <v>0</v>
      </c>
    </row>
    <row r="257" spans="1:21" ht="12" thickBot="1" x14ac:dyDescent="0.25">
      <c r="A257" s="81" t="s">
        <v>26</v>
      </c>
      <c r="B257" s="102">
        <f>SUM(B245:B256)</f>
        <v>4748365</v>
      </c>
      <c r="C257" s="103">
        <f>SUM(C245:C256)</f>
        <v>857558.17599999998</v>
      </c>
      <c r="D257" s="102">
        <f>SUM(D245:D256)</f>
        <v>4748.3649999999998</v>
      </c>
      <c r="E257" s="102">
        <f>SUM(E245:E256)</f>
        <v>3890806.824</v>
      </c>
      <c r="F257" s="51"/>
      <c r="G257" s="102">
        <f>SUM(G245:G256)</f>
        <v>4844648.5690000001</v>
      </c>
      <c r="H257" s="102">
        <f>SUM(H245:H256)</f>
        <v>3969701.517093</v>
      </c>
      <c r="I257" s="105">
        <f>SUM(I245:I256)</f>
        <v>283560.36499999999</v>
      </c>
      <c r="K257" s="105">
        <f>SUM(K245:K256)</f>
        <v>1141118.541</v>
      </c>
      <c r="L257" s="105">
        <f>SUM(L245:L256)</f>
        <v>0</v>
      </c>
      <c r="M257" s="105">
        <f>SUM(M245:M256)</f>
        <v>0</v>
      </c>
      <c r="N257" s="105">
        <f>SUM(N245:N256)</f>
        <v>0</v>
      </c>
      <c r="P257" s="120">
        <f>SUM(P245:P256)</f>
        <v>77955</v>
      </c>
      <c r="Q257" s="120">
        <f>SUM(Q245:Q256)</f>
        <v>113961</v>
      </c>
      <c r="R257" s="120">
        <f>SUM(R245:R256)</f>
        <v>44160</v>
      </c>
      <c r="S257" s="120"/>
      <c r="T257" s="120">
        <f>SUM(T245:T256)</f>
        <v>42736</v>
      </c>
      <c r="U257" s="120">
        <f>SUM(U245:U256)</f>
        <v>4748.3649999999998</v>
      </c>
    </row>
    <row r="258" spans="1:21" x14ac:dyDescent="0.2">
      <c r="A258" s="68"/>
      <c r="B258" s="75"/>
      <c r="C258" s="75"/>
      <c r="D258" s="75"/>
      <c r="E258" s="75"/>
      <c r="F258" s="77"/>
      <c r="G258" s="75"/>
      <c r="H258" s="75"/>
      <c r="I258" s="106"/>
      <c r="K258" s="106"/>
      <c r="L258" s="106"/>
      <c r="M258" s="106"/>
      <c r="N258" s="106"/>
    </row>
    <row r="259" spans="1:21" x14ac:dyDescent="0.2">
      <c r="A259" s="68"/>
      <c r="B259" s="75"/>
      <c r="C259" s="75"/>
      <c r="D259" s="75"/>
      <c r="E259" s="75"/>
      <c r="F259" s="77"/>
      <c r="G259" s="75"/>
      <c r="H259" s="75"/>
      <c r="I259" s="106"/>
      <c r="K259" s="106"/>
      <c r="L259" s="106"/>
      <c r="M259" s="106"/>
      <c r="N259" s="106"/>
    </row>
    <row r="260" spans="1:21" x14ac:dyDescent="0.2">
      <c r="A260" s="68"/>
      <c r="B260" s="75"/>
      <c r="C260" s="75"/>
      <c r="D260" s="75"/>
      <c r="E260" s="75"/>
      <c r="F260" s="77"/>
      <c r="G260" s="75"/>
      <c r="H260" s="75"/>
      <c r="I260" s="106"/>
      <c r="K260" s="106"/>
      <c r="L260" s="106"/>
      <c r="M260" s="106"/>
      <c r="N260" s="106"/>
    </row>
    <row r="261" spans="1:21" ht="12" thickBot="1" x14ac:dyDescent="0.25">
      <c r="A261" s="68"/>
      <c r="B261" s="75"/>
      <c r="C261" s="75"/>
      <c r="D261" s="75"/>
      <c r="E261" s="75"/>
      <c r="F261" s="77"/>
      <c r="G261" s="75"/>
      <c r="H261" s="75"/>
      <c r="I261" s="106"/>
      <c r="K261" s="106"/>
      <c r="L261" s="106"/>
      <c r="M261" s="106"/>
      <c r="N261" s="106"/>
    </row>
    <row r="262" spans="1:21" x14ac:dyDescent="0.2">
      <c r="A262" s="63" t="s">
        <v>27</v>
      </c>
      <c r="B262" s="64" t="s">
        <v>98</v>
      </c>
      <c r="C262" s="64"/>
      <c r="D262" s="64"/>
      <c r="E262" s="84"/>
      <c r="G262" s="62"/>
      <c r="K262" s="85"/>
      <c r="N262" s="60">
        <v>11</v>
      </c>
    </row>
    <row r="263" spans="1:21" ht="12" thickBot="1" x14ac:dyDescent="0.25">
      <c r="A263" s="86" t="s">
        <v>1</v>
      </c>
      <c r="B263" s="108" t="s">
        <v>99</v>
      </c>
      <c r="C263" s="87"/>
      <c r="D263" s="75"/>
      <c r="E263" s="70"/>
      <c r="F263" s="77"/>
      <c r="G263" s="78"/>
      <c r="H263" s="79"/>
    </row>
    <row r="264" spans="1:21" ht="12" thickBot="1" x14ac:dyDescent="0.25">
      <c r="A264" s="88" t="s">
        <v>3</v>
      </c>
      <c r="B264" s="39" t="s">
        <v>4</v>
      </c>
      <c r="C264" s="77" t="s">
        <v>5</v>
      </c>
      <c r="D264" s="39" t="s">
        <v>90</v>
      </c>
      <c r="E264" s="39" t="s">
        <v>6</v>
      </c>
      <c r="F264" s="65" t="s">
        <v>7</v>
      </c>
      <c r="G264" s="39" t="s">
        <v>68</v>
      </c>
      <c r="H264" s="39" t="s">
        <v>8</v>
      </c>
      <c r="I264" s="43" t="s">
        <v>65</v>
      </c>
      <c r="K264" s="43" t="s">
        <v>71</v>
      </c>
      <c r="L264" s="43" t="s">
        <v>73</v>
      </c>
      <c r="M264" s="89" t="s">
        <v>75</v>
      </c>
      <c r="N264" s="43" t="s">
        <v>76</v>
      </c>
      <c r="P264" s="142" t="s">
        <v>92</v>
      </c>
      <c r="Q264" s="143"/>
      <c r="R264" s="143"/>
      <c r="S264" s="143"/>
      <c r="T264" s="143"/>
      <c r="U264" s="144"/>
    </row>
    <row r="265" spans="1:21" ht="12" thickBot="1" x14ac:dyDescent="0.25">
      <c r="A265" s="40"/>
      <c r="B265" s="41" t="s">
        <v>9</v>
      </c>
      <c r="C265" s="48" t="s">
        <v>10</v>
      </c>
      <c r="D265" s="41" t="s">
        <v>91</v>
      </c>
      <c r="E265" s="41" t="s">
        <v>67</v>
      </c>
      <c r="F265" s="73" t="s">
        <v>12</v>
      </c>
      <c r="G265" s="41" t="s">
        <v>69</v>
      </c>
      <c r="H265" s="41" t="s">
        <v>70</v>
      </c>
      <c r="I265" s="44" t="s">
        <v>66</v>
      </c>
      <c r="K265" s="44" t="s">
        <v>72</v>
      </c>
      <c r="L265" s="44" t="s">
        <v>74</v>
      </c>
      <c r="M265" s="90" t="s">
        <v>69</v>
      </c>
      <c r="N265" s="44" t="s">
        <v>77</v>
      </c>
      <c r="P265" s="121" t="s">
        <v>93</v>
      </c>
      <c r="Q265" s="122" t="s">
        <v>94</v>
      </c>
      <c r="R265" s="122" t="s">
        <v>95</v>
      </c>
      <c r="S265" s="130" t="s">
        <v>106</v>
      </c>
      <c r="T265" s="130" t="s">
        <v>96</v>
      </c>
      <c r="U265" s="134" t="s">
        <v>97</v>
      </c>
    </row>
    <row r="266" spans="1:21" ht="12.75" x14ac:dyDescent="0.2">
      <c r="A266" s="91" t="s">
        <v>14</v>
      </c>
      <c r="B266" s="92">
        <v>0</v>
      </c>
      <c r="C266" s="93">
        <v>0</v>
      </c>
      <c r="D266" s="113">
        <f>B266*0.1%</f>
        <v>0</v>
      </c>
      <c r="E266" s="109">
        <f>B266-C266</f>
        <v>0</v>
      </c>
      <c r="F266" s="125">
        <v>1.036</v>
      </c>
      <c r="G266" s="94">
        <f t="shared" ref="G266:G277" si="87">B266*F266</f>
        <v>0</v>
      </c>
      <c r="H266" s="99">
        <f t="shared" ref="H266:H277" si="88">E266*F266</f>
        <v>0</v>
      </c>
      <c r="I266" s="98">
        <f>P266+Q266+R266+T266+U266</f>
        <v>0</v>
      </c>
      <c r="K266" s="97">
        <f>C266+I266</f>
        <v>0</v>
      </c>
      <c r="L266" s="96">
        <v>0</v>
      </c>
      <c r="M266" s="96">
        <f>L266*F266</f>
        <v>0</v>
      </c>
      <c r="N266" s="96">
        <v>0</v>
      </c>
      <c r="P266" s="96">
        <v>0</v>
      </c>
      <c r="Q266" s="96">
        <v>0</v>
      </c>
      <c r="R266" s="96">
        <v>0</v>
      </c>
      <c r="S266" s="131"/>
      <c r="T266" s="131">
        <v>0</v>
      </c>
      <c r="U266" s="97">
        <f>D266</f>
        <v>0</v>
      </c>
    </row>
    <row r="267" spans="1:21" ht="12.75" x14ac:dyDescent="0.2">
      <c r="A267" s="91" t="s">
        <v>15</v>
      </c>
      <c r="B267" s="93">
        <v>0</v>
      </c>
      <c r="C267" s="93">
        <v>0</v>
      </c>
      <c r="D267" s="113">
        <f t="shared" ref="D267:D277" si="89">B267*0.1%</f>
        <v>0</v>
      </c>
      <c r="E267" s="110">
        <f>B267-C267</f>
        <v>0</v>
      </c>
      <c r="F267" s="126">
        <v>1.026</v>
      </c>
      <c r="G267" s="94">
        <f t="shared" si="87"/>
        <v>0</v>
      </c>
      <c r="H267" s="99">
        <f t="shared" si="88"/>
        <v>0</v>
      </c>
      <c r="I267" s="98">
        <f t="shared" ref="I267:I277" si="90">P267+Q267+R267+T267+U267</f>
        <v>0</v>
      </c>
      <c r="K267" s="97">
        <f t="shared" ref="K267:K277" si="91">C267+I267</f>
        <v>0</v>
      </c>
      <c r="L267" s="98">
        <v>0</v>
      </c>
      <c r="M267" s="96">
        <f t="shared" ref="M267:M277" si="92">L267*F267</f>
        <v>0</v>
      </c>
      <c r="N267" s="98">
        <v>0</v>
      </c>
      <c r="P267" s="98">
        <v>0</v>
      </c>
      <c r="Q267" s="98">
        <v>0</v>
      </c>
      <c r="R267" s="98">
        <v>0</v>
      </c>
      <c r="S267" s="132"/>
      <c r="T267" s="132">
        <v>0</v>
      </c>
      <c r="U267" s="97">
        <f t="shared" ref="U267:U277" si="93">D267</f>
        <v>0</v>
      </c>
    </row>
    <row r="268" spans="1:21" ht="12.75" x14ac:dyDescent="0.2">
      <c r="A268" s="91" t="s">
        <v>16</v>
      </c>
      <c r="B268" s="99">
        <v>366884</v>
      </c>
      <c r="C268" s="99">
        <f>38743+25682-367</f>
        <v>64058</v>
      </c>
      <c r="D268" s="113">
        <f t="shared" si="89"/>
        <v>366.88400000000001</v>
      </c>
      <c r="E268" s="110">
        <f t="shared" ref="E268:E277" si="94">B268-C268</f>
        <v>302826</v>
      </c>
      <c r="F268" s="126">
        <v>1.022</v>
      </c>
      <c r="G268" s="94">
        <f t="shared" si="87"/>
        <v>374955.44800000003</v>
      </c>
      <c r="H268" s="99">
        <f t="shared" si="88"/>
        <v>309488.17200000002</v>
      </c>
      <c r="I268" s="98">
        <f t="shared" si="90"/>
        <v>23737.883999999998</v>
      </c>
      <c r="K268" s="97">
        <f t="shared" si="91"/>
        <v>87795.883999999991</v>
      </c>
      <c r="L268" s="98">
        <v>0</v>
      </c>
      <c r="M268" s="96">
        <f t="shared" si="92"/>
        <v>0</v>
      </c>
      <c r="N268" s="98">
        <v>0</v>
      </c>
      <c r="P268" s="98">
        <v>5650</v>
      </c>
      <c r="Q268" s="98">
        <v>11007</v>
      </c>
      <c r="R268" s="98">
        <v>3412</v>
      </c>
      <c r="S268" s="132"/>
      <c r="T268" s="132">
        <v>3302</v>
      </c>
      <c r="U268" s="97">
        <f t="shared" si="93"/>
        <v>366.88400000000001</v>
      </c>
    </row>
    <row r="269" spans="1:21" ht="12.75" x14ac:dyDescent="0.2">
      <c r="A269" s="91" t="s">
        <v>17</v>
      </c>
      <c r="B269" s="99">
        <v>673750</v>
      </c>
      <c r="C269" s="99">
        <f>71148+4043+47163-674</f>
        <v>121680</v>
      </c>
      <c r="D269" s="113">
        <f t="shared" si="89"/>
        <v>673.75</v>
      </c>
      <c r="E269" s="110">
        <f t="shared" si="94"/>
        <v>552070</v>
      </c>
      <c r="F269" s="126">
        <v>1.016</v>
      </c>
      <c r="G269" s="94">
        <f t="shared" si="87"/>
        <v>684530</v>
      </c>
      <c r="H269" s="99">
        <f t="shared" si="88"/>
        <v>560903.12</v>
      </c>
      <c r="I269" s="98">
        <f t="shared" si="90"/>
        <v>44131.75</v>
      </c>
      <c r="K269" s="97">
        <f t="shared" si="91"/>
        <v>165811.75</v>
      </c>
      <c r="L269" s="98">
        <v>0</v>
      </c>
      <c r="M269" s="96">
        <f t="shared" si="92"/>
        <v>0</v>
      </c>
      <c r="N269" s="98">
        <v>0</v>
      </c>
      <c r="P269" s="98">
        <v>10915</v>
      </c>
      <c r="Q269" s="98">
        <v>20213</v>
      </c>
      <c r="R269" s="98">
        <v>6266</v>
      </c>
      <c r="S269" s="132"/>
      <c r="T269" s="132">
        <v>6064</v>
      </c>
      <c r="U269" s="97">
        <f t="shared" si="93"/>
        <v>673.75</v>
      </c>
    </row>
    <row r="270" spans="1:21" ht="12.75" x14ac:dyDescent="0.2">
      <c r="A270" s="91" t="s">
        <v>18</v>
      </c>
      <c r="B270" s="99">
        <v>673750</v>
      </c>
      <c r="C270" s="93">
        <f>71148+47163-D270</f>
        <v>117637.25</v>
      </c>
      <c r="D270" s="113">
        <f t="shared" si="89"/>
        <v>673.75</v>
      </c>
      <c r="E270" s="110">
        <f t="shared" si="94"/>
        <v>556112.75</v>
      </c>
      <c r="F270" s="126">
        <v>1.014</v>
      </c>
      <c r="G270" s="94">
        <f t="shared" si="87"/>
        <v>683182.5</v>
      </c>
      <c r="H270" s="99">
        <f t="shared" si="88"/>
        <v>563898.32850000006</v>
      </c>
      <c r="I270" s="98">
        <f t="shared" si="90"/>
        <v>44131.75</v>
      </c>
      <c r="K270" s="97">
        <f t="shared" si="91"/>
        <v>161769</v>
      </c>
      <c r="L270" s="98">
        <v>0</v>
      </c>
      <c r="M270" s="96">
        <f t="shared" si="92"/>
        <v>0</v>
      </c>
      <c r="N270" s="98">
        <v>0</v>
      </c>
      <c r="P270" s="98">
        <v>10915</v>
      </c>
      <c r="Q270" s="98">
        <v>20213</v>
      </c>
      <c r="R270" s="98">
        <v>6266</v>
      </c>
      <c r="S270" s="132"/>
      <c r="T270" s="132">
        <v>6064</v>
      </c>
      <c r="U270" s="97">
        <f t="shared" si="93"/>
        <v>673.75</v>
      </c>
    </row>
    <row r="271" spans="1:21" ht="12.75" x14ac:dyDescent="0.2">
      <c r="A271" s="91" t="s">
        <v>19</v>
      </c>
      <c r="B271" s="93">
        <v>710133</v>
      </c>
      <c r="C271" s="93">
        <f>74990+49709-D271</f>
        <v>123988.867</v>
      </c>
      <c r="D271" s="113">
        <f t="shared" si="89"/>
        <v>710.13300000000004</v>
      </c>
      <c r="E271" s="110">
        <f t="shared" si="94"/>
        <v>586144.13300000003</v>
      </c>
      <c r="F271" s="126">
        <v>1.012</v>
      </c>
      <c r="G271" s="94">
        <f t="shared" si="87"/>
        <v>718654.59600000002</v>
      </c>
      <c r="H271" s="99">
        <f t="shared" si="88"/>
        <v>593177.86259600008</v>
      </c>
      <c r="I271" s="98">
        <f t="shared" si="90"/>
        <v>46513.133000000002</v>
      </c>
      <c r="K271" s="97">
        <f t="shared" si="91"/>
        <v>170502</v>
      </c>
      <c r="L271" s="98">
        <v>0</v>
      </c>
      <c r="M271" s="96">
        <f t="shared" si="92"/>
        <v>0</v>
      </c>
      <c r="N271" s="98">
        <v>0</v>
      </c>
      <c r="P271" s="98">
        <v>11504</v>
      </c>
      <c r="Q271" s="98">
        <v>21304</v>
      </c>
      <c r="R271" s="98">
        <v>6604</v>
      </c>
      <c r="S271" s="132"/>
      <c r="T271" s="132">
        <v>6391</v>
      </c>
      <c r="U271" s="97">
        <f t="shared" si="93"/>
        <v>710.13300000000004</v>
      </c>
    </row>
    <row r="272" spans="1:21" ht="12.75" x14ac:dyDescent="0.2">
      <c r="A272" s="91" t="s">
        <v>20</v>
      </c>
      <c r="B272" s="93">
        <v>668876</v>
      </c>
      <c r="C272" s="93">
        <f>70633+46821-D272</f>
        <v>116785.124</v>
      </c>
      <c r="D272" s="113">
        <f t="shared" si="89"/>
        <v>668.87599999999998</v>
      </c>
      <c r="E272" s="110">
        <f t="shared" si="94"/>
        <v>552090.87600000005</v>
      </c>
      <c r="F272" s="126">
        <v>1.0169999999999999</v>
      </c>
      <c r="G272" s="94">
        <f t="shared" si="87"/>
        <v>680246.89199999999</v>
      </c>
      <c r="H272" s="99">
        <f t="shared" si="88"/>
        <v>561476.42089199997</v>
      </c>
      <c r="I272" s="98">
        <f t="shared" si="90"/>
        <v>46353.875999999997</v>
      </c>
      <c r="K272" s="97">
        <f t="shared" si="91"/>
        <v>163139</v>
      </c>
      <c r="L272" s="98">
        <v>0</v>
      </c>
      <c r="M272" s="96">
        <f t="shared" si="92"/>
        <v>0</v>
      </c>
      <c r="N272" s="98">
        <v>0</v>
      </c>
      <c r="P272" s="98">
        <v>13378</v>
      </c>
      <c r="Q272" s="98">
        <v>20066</v>
      </c>
      <c r="R272" s="98">
        <v>6221</v>
      </c>
      <c r="S272" s="132"/>
      <c r="T272" s="132">
        <v>6020</v>
      </c>
      <c r="U272" s="97">
        <f t="shared" si="93"/>
        <v>668.87599999999998</v>
      </c>
    </row>
    <row r="273" spans="1:21" ht="12.75" x14ac:dyDescent="0.2">
      <c r="A273" s="91" t="s">
        <v>21</v>
      </c>
      <c r="B273" s="93"/>
      <c r="C273" s="93"/>
      <c r="D273" s="113">
        <f t="shared" si="89"/>
        <v>0</v>
      </c>
      <c r="E273" s="110">
        <f t="shared" si="94"/>
        <v>0</v>
      </c>
      <c r="F273" s="126">
        <v>1.008</v>
      </c>
      <c r="G273" s="94">
        <f t="shared" si="87"/>
        <v>0</v>
      </c>
      <c r="H273" s="99">
        <f t="shared" si="88"/>
        <v>0</v>
      </c>
      <c r="I273" s="98">
        <f t="shared" si="90"/>
        <v>0</v>
      </c>
      <c r="K273" s="97">
        <f t="shared" si="91"/>
        <v>0</v>
      </c>
      <c r="L273" s="98">
        <v>0</v>
      </c>
      <c r="M273" s="96">
        <f t="shared" si="92"/>
        <v>0</v>
      </c>
      <c r="N273" s="98">
        <v>0</v>
      </c>
      <c r="P273" s="98"/>
      <c r="Q273" s="98"/>
      <c r="R273" s="98"/>
      <c r="S273" s="132"/>
      <c r="T273" s="132"/>
      <c r="U273" s="97">
        <f t="shared" si="93"/>
        <v>0</v>
      </c>
    </row>
    <row r="274" spans="1:21" ht="12.75" x14ac:dyDescent="0.2">
      <c r="A274" s="91" t="s">
        <v>22</v>
      </c>
      <c r="B274" s="93"/>
      <c r="C274" s="93"/>
      <c r="D274" s="113">
        <f t="shared" si="89"/>
        <v>0</v>
      </c>
      <c r="E274" s="110">
        <f t="shared" si="94"/>
        <v>0</v>
      </c>
      <c r="F274" s="126">
        <v>1.0069999999999999</v>
      </c>
      <c r="G274" s="94">
        <f t="shared" si="87"/>
        <v>0</v>
      </c>
      <c r="H274" s="99">
        <f t="shared" si="88"/>
        <v>0</v>
      </c>
      <c r="I274" s="98">
        <f t="shared" si="90"/>
        <v>0</v>
      </c>
      <c r="K274" s="97">
        <f t="shared" si="91"/>
        <v>0</v>
      </c>
      <c r="L274" s="98">
        <v>0</v>
      </c>
      <c r="M274" s="96">
        <f t="shared" si="92"/>
        <v>0</v>
      </c>
      <c r="N274" s="98">
        <v>0</v>
      </c>
      <c r="P274" s="98"/>
      <c r="Q274" s="98"/>
      <c r="R274" s="98"/>
      <c r="S274" s="132"/>
      <c r="T274" s="132"/>
      <c r="U274" s="97">
        <f t="shared" si="93"/>
        <v>0</v>
      </c>
    </row>
    <row r="275" spans="1:21" ht="12.75" x14ac:dyDescent="0.2">
      <c r="A275" s="91" t="s">
        <v>23</v>
      </c>
      <c r="B275" s="93"/>
      <c r="C275" s="99"/>
      <c r="D275" s="113">
        <f t="shared" si="89"/>
        <v>0</v>
      </c>
      <c r="E275" s="110">
        <f t="shared" si="94"/>
        <v>0</v>
      </c>
      <c r="F275" s="126">
        <v>1.0029999999999999</v>
      </c>
      <c r="G275" s="94">
        <f t="shared" si="87"/>
        <v>0</v>
      </c>
      <c r="H275" s="99">
        <f t="shared" si="88"/>
        <v>0</v>
      </c>
      <c r="I275" s="98">
        <f t="shared" si="90"/>
        <v>0</v>
      </c>
      <c r="K275" s="97">
        <f t="shared" si="91"/>
        <v>0</v>
      </c>
      <c r="L275" s="98">
        <v>0</v>
      </c>
      <c r="M275" s="96">
        <f t="shared" si="92"/>
        <v>0</v>
      </c>
      <c r="N275" s="98">
        <v>0</v>
      </c>
      <c r="P275" s="98"/>
      <c r="Q275" s="98"/>
      <c r="R275" s="98"/>
      <c r="S275" s="132"/>
      <c r="T275" s="132"/>
      <c r="U275" s="97">
        <f t="shared" si="93"/>
        <v>0</v>
      </c>
    </row>
    <row r="276" spans="1:21" ht="12.75" x14ac:dyDescent="0.2">
      <c r="A276" s="91" t="s">
        <v>24</v>
      </c>
      <c r="B276" s="93"/>
      <c r="C276" s="93"/>
      <c r="D276" s="113">
        <f t="shared" si="89"/>
        <v>0</v>
      </c>
      <c r="E276" s="110">
        <f t="shared" si="94"/>
        <v>0</v>
      </c>
      <c r="F276" s="126">
        <v>1.0029999999999999</v>
      </c>
      <c r="G276" s="94">
        <f t="shared" si="87"/>
        <v>0</v>
      </c>
      <c r="H276" s="99">
        <f t="shared" si="88"/>
        <v>0</v>
      </c>
      <c r="I276" s="98">
        <f t="shared" si="90"/>
        <v>0</v>
      </c>
      <c r="K276" s="97">
        <f t="shared" si="91"/>
        <v>0</v>
      </c>
      <c r="L276" s="98">
        <v>0</v>
      </c>
      <c r="M276" s="96">
        <f t="shared" si="92"/>
        <v>0</v>
      </c>
      <c r="N276" s="98">
        <v>0</v>
      </c>
      <c r="P276" s="98"/>
      <c r="Q276" s="98"/>
      <c r="R276" s="98"/>
      <c r="S276" s="132"/>
      <c r="T276" s="132"/>
      <c r="U276" s="97">
        <f t="shared" si="93"/>
        <v>0</v>
      </c>
    </row>
    <row r="277" spans="1:21" ht="13.5" thickBot="1" x14ac:dyDescent="0.25">
      <c r="A277" s="100" t="s">
        <v>25</v>
      </c>
      <c r="B277" s="93"/>
      <c r="C277" s="93"/>
      <c r="D277" s="113">
        <f t="shared" si="89"/>
        <v>0</v>
      </c>
      <c r="E277" s="110">
        <f t="shared" si="94"/>
        <v>0</v>
      </c>
      <c r="F277" s="127">
        <v>1</v>
      </c>
      <c r="G277" s="94">
        <f t="shared" si="87"/>
        <v>0</v>
      </c>
      <c r="H277" s="99">
        <f t="shared" si="88"/>
        <v>0</v>
      </c>
      <c r="I277" s="98">
        <f t="shared" si="90"/>
        <v>0</v>
      </c>
      <c r="K277" s="97">
        <f t="shared" si="91"/>
        <v>0</v>
      </c>
      <c r="L277" s="101">
        <v>0</v>
      </c>
      <c r="M277" s="96">
        <f t="shared" si="92"/>
        <v>0</v>
      </c>
      <c r="N277" s="101">
        <v>0</v>
      </c>
      <c r="P277" s="101"/>
      <c r="Q277" s="101"/>
      <c r="R277" s="101"/>
      <c r="S277" s="133"/>
      <c r="T277" s="133"/>
      <c r="U277" s="97">
        <f t="shared" si="93"/>
        <v>0</v>
      </c>
    </row>
    <row r="278" spans="1:21" ht="12" thickBot="1" x14ac:dyDescent="0.25">
      <c r="A278" s="81" t="s">
        <v>26</v>
      </c>
      <c r="B278" s="102">
        <f>SUM(B266:B277)</f>
        <v>3093393</v>
      </c>
      <c r="C278" s="103">
        <f>SUM(C266:C277)</f>
        <v>544149.24099999992</v>
      </c>
      <c r="D278" s="102">
        <f>SUM(D266:D277)</f>
        <v>3093.393</v>
      </c>
      <c r="E278" s="102">
        <f>SUM(E266:E277)</f>
        <v>2549243.7590000001</v>
      </c>
      <c r="F278" s="51"/>
      <c r="G278" s="102">
        <f>SUM(G266:G277)</f>
        <v>3141569.4360000002</v>
      </c>
      <c r="H278" s="102">
        <f>SUM(H266:H277)</f>
        <v>2588943.903988</v>
      </c>
      <c r="I278" s="105">
        <f>SUM(I266:I277)</f>
        <v>204868.39299999998</v>
      </c>
      <c r="K278" s="105">
        <f>SUM(K266:K277)</f>
        <v>749017.63399999996</v>
      </c>
      <c r="L278" s="105">
        <f>SUM(L266:L277)</f>
        <v>0</v>
      </c>
      <c r="M278" s="105">
        <f>SUM(M266:M277)</f>
        <v>0</v>
      </c>
      <c r="N278" s="105">
        <f>SUM(N266:N277)</f>
        <v>0</v>
      </c>
      <c r="P278" s="120">
        <f>SUM(P266:P277)</f>
        <v>52362</v>
      </c>
      <c r="Q278" s="120">
        <f>SUM(Q266:Q277)</f>
        <v>92803</v>
      </c>
      <c r="R278" s="120">
        <f>SUM(R266:R277)</f>
        <v>28769</v>
      </c>
      <c r="S278" s="120"/>
      <c r="T278" s="120">
        <f>SUM(T266:T277)</f>
        <v>27841</v>
      </c>
      <c r="U278" s="120">
        <f>SUM(U266:U277)</f>
        <v>3093.393</v>
      </c>
    </row>
    <row r="281" spans="1:21" ht="12" thickBot="1" x14ac:dyDescent="0.25"/>
    <row r="282" spans="1:21" x14ac:dyDescent="0.2">
      <c r="A282" s="63" t="s">
        <v>27</v>
      </c>
      <c r="B282" s="64" t="s">
        <v>100</v>
      </c>
      <c r="C282" s="64"/>
      <c r="D282" s="64"/>
      <c r="E282" s="84"/>
      <c r="G282" s="62"/>
      <c r="K282" s="85"/>
      <c r="N282" s="60">
        <v>12</v>
      </c>
    </row>
    <row r="283" spans="1:21" ht="12" thickBot="1" x14ac:dyDescent="0.25">
      <c r="A283" s="86" t="s">
        <v>1</v>
      </c>
      <c r="B283" s="108" t="s">
        <v>101</v>
      </c>
      <c r="C283" s="87"/>
      <c r="D283" s="75"/>
      <c r="E283" s="70"/>
      <c r="F283" s="77"/>
      <c r="G283" s="78"/>
      <c r="H283" s="79"/>
    </row>
    <row r="284" spans="1:21" ht="12" thickBot="1" x14ac:dyDescent="0.25">
      <c r="A284" s="88" t="s">
        <v>3</v>
      </c>
      <c r="B284" s="39" t="s">
        <v>4</v>
      </c>
      <c r="C284" s="77" t="s">
        <v>5</v>
      </c>
      <c r="D284" s="39" t="s">
        <v>90</v>
      </c>
      <c r="E284" s="39" t="s">
        <v>6</v>
      </c>
      <c r="F284" s="65" t="s">
        <v>7</v>
      </c>
      <c r="G284" s="39" t="s">
        <v>68</v>
      </c>
      <c r="H284" s="39" t="s">
        <v>8</v>
      </c>
      <c r="I284" s="43" t="s">
        <v>65</v>
      </c>
      <c r="K284" s="43" t="s">
        <v>71</v>
      </c>
      <c r="L284" s="43" t="s">
        <v>73</v>
      </c>
      <c r="M284" s="89" t="s">
        <v>75</v>
      </c>
      <c r="N284" s="43" t="s">
        <v>76</v>
      </c>
      <c r="P284" s="142" t="s">
        <v>92</v>
      </c>
      <c r="Q284" s="143"/>
      <c r="R284" s="143"/>
      <c r="S284" s="143"/>
      <c r="T284" s="143"/>
      <c r="U284" s="144"/>
    </row>
    <row r="285" spans="1:21" ht="12" thickBot="1" x14ac:dyDescent="0.25">
      <c r="A285" s="40"/>
      <c r="B285" s="41" t="s">
        <v>9</v>
      </c>
      <c r="C285" s="48" t="s">
        <v>10</v>
      </c>
      <c r="D285" s="41" t="s">
        <v>91</v>
      </c>
      <c r="E285" s="41" t="s">
        <v>67</v>
      </c>
      <c r="F285" s="73" t="s">
        <v>12</v>
      </c>
      <c r="G285" s="41" t="s">
        <v>69</v>
      </c>
      <c r="H285" s="41" t="s">
        <v>70</v>
      </c>
      <c r="I285" s="44" t="s">
        <v>66</v>
      </c>
      <c r="K285" s="44" t="s">
        <v>72</v>
      </c>
      <c r="L285" s="44" t="s">
        <v>74</v>
      </c>
      <c r="M285" s="90" t="s">
        <v>69</v>
      </c>
      <c r="N285" s="44" t="s">
        <v>77</v>
      </c>
      <c r="P285" s="121" t="s">
        <v>93</v>
      </c>
      <c r="Q285" s="122" t="s">
        <v>94</v>
      </c>
      <c r="R285" s="122" t="s">
        <v>95</v>
      </c>
      <c r="S285" s="130" t="s">
        <v>106</v>
      </c>
      <c r="T285" s="130" t="s">
        <v>96</v>
      </c>
      <c r="U285" s="134" t="s">
        <v>97</v>
      </c>
    </row>
    <row r="286" spans="1:21" ht="12.75" x14ac:dyDescent="0.2">
      <c r="A286" s="91" t="s">
        <v>14</v>
      </c>
      <c r="B286" s="92">
        <v>0</v>
      </c>
      <c r="C286" s="93">
        <v>0</v>
      </c>
      <c r="D286" s="113">
        <f>B286*0.1%</f>
        <v>0</v>
      </c>
      <c r="E286" s="109">
        <f>B286-C286</f>
        <v>0</v>
      </c>
      <c r="F286" s="125">
        <v>1.036</v>
      </c>
      <c r="G286" s="94">
        <f t="shared" ref="G286:G297" si="95">B286*F286</f>
        <v>0</v>
      </c>
      <c r="H286" s="99">
        <f t="shared" ref="H286:H297" si="96">E286*F286</f>
        <v>0</v>
      </c>
      <c r="I286" s="98">
        <f>P286+Q286+R286+T286+U286</f>
        <v>0</v>
      </c>
      <c r="K286" s="97">
        <f>C286+I286</f>
        <v>0</v>
      </c>
      <c r="L286" s="96">
        <v>0</v>
      </c>
      <c r="M286" s="96">
        <f>L286*F286</f>
        <v>0</v>
      </c>
      <c r="N286" s="96">
        <v>0</v>
      </c>
      <c r="P286" s="96">
        <v>0</v>
      </c>
      <c r="Q286" s="96">
        <v>0</v>
      </c>
      <c r="R286" s="96">
        <v>0</v>
      </c>
      <c r="S286" s="131"/>
      <c r="T286" s="131">
        <v>0</v>
      </c>
      <c r="U286" s="97">
        <f>D286</f>
        <v>0</v>
      </c>
    </row>
    <row r="287" spans="1:21" ht="12.75" x14ac:dyDescent="0.2">
      <c r="A287" s="91" t="s">
        <v>15</v>
      </c>
      <c r="B287" s="93">
        <v>0</v>
      </c>
      <c r="C287" s="93">
        <v>0</v>
      </c>
      <c r="D287" s="113">
        <f t="shared" ref="D287:D297" si="97">B287*0.1%</f>
        <v>0</v>
      </c>
      <c r="E287" s="110">
        <f>B287-C287</f>
        <v>0</v>
      </c>
      <c r="F287" s="126">
        <v>1.026</v>
      </c>
      <c r="G287" s="94">
        <f t="shared" si="95"/>
        <v>0</v>
      </c>
      <c r="H287" s="99">
        <f t="shared" si="96"/>
        <v>0</v>
      </c>
      <c r="I287" s="98">
        <f t="shared" ref="I287:I297" si="98">P287+Q287+R287+T287+U287</f>
        <v>0</v>
      </c>
      <c r="K287" s="97">
        <f t="shared" ref="K287:K297" si="99">C287+I287</f>
        <v>0</v>
      </c>
      <c r="L287" s="98">
        <v>0</v>
      </c>
      <c r="M287" s="96">
        <f t="shared" ref="M287:M297" si="100">L287*F287</f>
        <v>0</v>
      </c>
      <c r="N287" s="98">
        <v>0</v>
      </c>
      <c r="P287" s="98">
        <v>0</v>
      </c>
      <c r="Q287" s="98">
        <v>0</v>
      </c>
      <c r="R287" s="98">
        <v>0</v>
      </c>
      <c r="S287" s="132"/>
      <c r="T287" s="132">
        <v>0</v>
      </c>
      <c r="U287" s="97">
        <f t="shared" ref="U287:U297" si="101">D287</f>
        <v>0</v>
      </c>
    </row>
    <row r="288" spans="1:21" ht="12.75" x14ac:dyDescent="0.2">
      <c r="A288" s="91" t="s">
        <v>16</v>
      </c>
      <c r="B288" s="99">
        <v>673750</v>
      </c>
      <c r="C288" s="99">
        <f>71148+4043+47163-674</f>
        <v>121680</v>
      </c>
      <c r="D288" s="113">
        <f t="shared" si="97"/>
        <v>673.75</v>
      </c>
      <c r="E288" s="110">
        <f t="shared" ref="E288:E297" si="102">B288-C288</f>
        <v>552070</v>
      </c>
      <c r="F288" s="126">
        <v>1.022</v>
      </c>
      <c r="G288" s="94">
        <f t="shared" si="95"/>
        <v>688572.5</v>
      </c>
      <c r="H288" s="99">
        <f t="shared" si="96"/>
        <v>564215.54</v>
      </c>
      <c r="I288" s="98">
        <f t="shared" si="98"/>
        <v>39549.75</v>
      </c>
      <c r="K288" s="97">
        <f t="shared" si="99"/>
        <v>161229.75</v>
      </c>
      <c r="L288" s="98">
        <v>0</v>
      </c>
      <c r="M288" s="96">
        <f t="shared" si="100"/>
        <v>0</v>
      </c>
      <c r="N288" s="98">
        <v>0</v>
      </c>
      <c r="P288" s="98">
        <v>10376</v>
      </c>
      <c r="Q288" s="98">
        <v>16170</v>
      </c>
      <c r="R288" s="98">
        <v>6266</v>
      </c>
      <c r="S288" s="132"/>
      <c r="T288" s="132">
        <v>6064</v>
      </c>
      <c r="U288" s="97">
        <f t="shared" si="101"/>
        <v>673.75</v>
      </c>
    </row>
    <row r="289" spans="1:21" ht="12.75" x14ac:dyDescent="0.2">
      <c r="A289" s="91" t="s">
        <v>17</v>
      </c>
      <c r="B289" s="99">
        <v>673750</v>
      </c>
      <c r="C289" s="99">
        <f>71148+4043+47163-674</f>
        <v>121680</v>
      </c>
      <c r="D289" s="113">
        <f t="shared" si="97"/>
        <v>673.75</v>
      </c>
      <c r="E289" s="110">
        <f t="shared" si="102"/>
        <v>552070</v>
      </c>
      <c r="F289" s="126">
        <v>1.016</v>
      </c>
      <c r="G289" s="94">
        <f t="shared" si="95"/>
        <v>684530</v>
      </c>
      <c r="H289" s="99">
        <f t="shared" si="96"/>
        <v>560903.12</v>
      </c>
      <c r="I289" s="98">
        <f t="shared" si="98"/>
        <v>40088.75</v>
      </c>
      <c r="K289" s="97">
        <f t="shared" si="99"/>
        <v>161768.75</v>
      </c>
      <c r="L289" s="98">
        <v>0</v>
      </c>
      <c r="M289" s="96">
        <f t="shared" si="100"/>
        <v>0</v>
      </c>
      <c r="N289" s="98">
        <v>0</v>
      </c>
      <c r="P289" s="98">
        <v>10915</v>
      </c>
      <c r="Q289" s="98">
        <v>16170</v>
      </c>
      <c r="R289" s="98">
        <v>6266</v>
      </c>
      <c r="S289" s="132"/>
      <c r="T289" s="132">
        <v>6064</v>
      </c>
      <c r="U289" s="97">
        <f t="shared" si="101"/>
        <v>673.75</v>
      </c>
    </row>
    <row r="290" spans="1:21" ht="12.75" x14ac:dyDescent="0.2">
      <c r="A290" s="91" t="s">
        <v>18</v>
      </c>
      <c r="B290" s="99">
        <v>673750</v>
      </c>
      <c r="C290" s="93">
        <f>71148+4043+47163-D290</f>
        <v>121680.25</v>
      </c>
      <c r="D290" s="113">
        <f t="shared" si="97"/>
        <v>673.75</v>
      </c>
      <c r="E290" s="110">
        <f t="shared" si="102"/>
        <v>552069.75</v>
      </c>
      <c r="F290" s="126">
        <v>1.014</v>
      </c>
      <c r="G290" s="94">
        <f t="shared" si="95"/>
        <v>683182.5</v>
      </c>
      <c r="H290" s="99">
        <f t="shared" si="96"/>
        <v>559798.72649999999</v>
      </c>
      <c r="I290" s="98">
        <f t="shared" si="98"/>
        <v>40088.75</v>
      </c>
      <c r="K290" s="97">
        <f t="shared" si="99"/>
        <v>161769</v>
      </c>
      <c r="L290" s="98">
        <v>0</v>
      </c>
      <c r="M290" s="96">
        <f t="shared" si="100"/>
        <v>0</v>
      </c>
      <c r="N290" s="98">
        <v>0</v>
      </c>
      <c r="P290" s="98">
        <v>10915</v>
      </c>
      <c r="Q290" s="98">
        <v>16170</v>
      </c>
      <c r="R290" s="98">
        <v>6266</v>
      </c>
      <c r="S290" s="132"/>
      <c r="T290" s="132">
        <v>6064</v>
      </c>
      <c r="U290" s="97">
        <f t="shared" si="101"/>
        <v>673.75</v>
      </c>
    </row>
    <row r="291" spans="1:21" ht="12.75" x14ac:dyDescent="0.2">
      <c r="A291" s="91" t="s">
        <v>19</v>
      </c>
      <c r="B291" s="93">
        <v>710133</v>
      </c>
      <c r="C291" s="93">
        <f>74990+4261+49709-D291</f>
        <v>128249.867</v>
      </c>
      <c r="D291" s="113">
        <f t="shared" si="97"/>
        <v>710.13300000000004</v>
      </c>
      <c r="E291" s="110">
        <f t="shared" si="102"/>
        <v>581883.13300000003</v>
      </c>
      <c r="F291" s="126">
        <v>1.012</v>
      </c>
      <c r="G291" s="94">
        <f t="shared" si="95"/>
        <v>718654.59600000002</v>
      </c>
      <c r="H291" s="99">
        <f t="shared" si="96"/>
        <v>588865.73059599998</v>
      </c>
      <c r="I291" s="98">
        <f t="shared" si="98"/>
        <v>42252.133000000002</v>
      </c>
      <c r="K291" s="97">
        <f t="shared" si="99"/>
        <v>170502</v>
      </c>
      <c r="L291" s="98">
        <v>0</v>
      </c>
      <c r="M291" s="96">
        <f t="shared" si="100"/>
        <v>0</v>
      </c>
      <c r="N291" s="98">
        <v>0</v>
      </c>
      <c r="P291" s="98">
        <v>11504</v>
      </c>
      <c r="Q291" s="98">
        <v>17043</v>
      </c>
      <c r="R291" s="98">
        <v>6604</v>
      </c>
      <c r="S291" s="132"/>
      <c r="T291" s="132">
        <v>6391</v>
      </c>
      <c r="U291" s="97">
        <f t="shared" si="101"/>
        <v>710.13300000000004</v>
      </c>
    </row>
    <row r="292" spans="1:21" ht="12.75" x14ac:dyDescent="0.2">
      <c r="A292" s="91" t="s">
        <v>20</v>
      </c>
      <c r="B292" s="93">
        <v>691942</v>
      </c>
      <c r="C292" s="93">
        <f>73069+4152+48436-D292</f>
        <v>124965.058</v>
      </c>
      <c r="D292" s="113">
        <f t="shared" si="97"/>
        <v>691.94200000000001</v>
      </c>
      <c r="E292" s="110">
        <f t="shared" si="102"/>
        <v>566976.94200000004</v>
      </c>
      <c r="F292" s="126">
        <v>1.0169999999999999</v>
      </c>
      <c r="G292" s="94">
        <f t="shared" si="95"/>
        <v>703705.01399999997</v>
      </c>
      <c r="H292" s="99">
        <f t="shared" si="96"/>
        <v>576615.55001400004</v>
      </c>
      <c r="I292" s="98">
        <f t="shared" si="98"/>
        <v>43799.942000000003</v>
      </c>
      <c r="K292" s="97">
        <f t="shared" si="99"/>
        <v>168765</v>
      </c>
      <c r="L292" s="98">
        <v>0</v>
      </c>
      <c r="M292" s="96">
        <f t="shared" si="100"/>
        <v>0</v>
      </c>
      <c r="N292" s="98">
        <v>0</v>
      </c>
      <c r="P292" s="98">
        <v>13839</v>
      </c>
      <c r="Q292" s="98">
        <v>16607</v>
      </c>
      <c r="R292" s="98">
        <v>6435</v>
      </c>
      <c r="S292" s="132"/>
      <c r="T292" s="132">
        <v>6227</v>
      </c>
      <c r="U292" s="97">
        <f t="shared" si="101"/>
        <v>691.94200000000001</v>
      </c>
    </row>
    <row r="293" spans="1:21" ht="12.75" x14ac:dyDescent="0.2">
      <c r="A293" s="91" t="s">
        <v>21</v>
      </c>
      <c r="B293" s="93"/>
      <c r="C293" s="93"/>
      <c r="D293" s="113">
        <f t="shared" si="97"/>
        <v>0</v>
      </c>
      <c r="E293" s="110">
        <f t="shared" si="102"/>
        <v>0</v>
      </c>
      <c r="F293" s="126">
        <v>1.008</v>
      </c>
      <c r="G293" s="94">
        <f t="shared" si="95"/>
        <v>0</v>
      </c>
      <c r="H293" s="99">
        <f t="shared" si="96"/>
        <v>0</v>
      </c>
      <c r="I293" s="98">
        <f t="shared" si="98"/>
        <v>0</v>
      </c>
      <c r="K293" s="97">
        <f t="shared" si="99"/>
        <v>0</v>
      </c>
      <c r="L293" s="98">
        <v>0</v>
      </c>
      <c r="M293" s="96">
        <f t="shared" si="100"/>
        <v>0</v>
      </c>
      <c r="N293" s="98">
        <v>0</v>
      </c>
      <c r="P293" s="98"/>
      <c r="Q293" s="98"/>
      <c r="R293" s="98"/>
      <c r="S293" s="132"/>
      <c r="T293" s="132"/>
      <c r="U293" s="97">
        <f t="shared" si="101"/>
        <v>0</v>
      </c>
    </row>
    <row r="294" spans="1:21" ht="12.75" x14ac:dyDescent="0.2">
      <c r="A294" s="91" t="s">
        <v>22</v>
      </c>
      <c r="B294" s="93"/>
      <c r="C294" s="93"/>
      <c r="D294" s="113">
        <f t="shared" si="97"/>
        <v>0</v>
      </c>
      <c r="E294" s="110">
        <f t="shared" si="102"/>
        <v>0</v>
      </c>
      <c r="F294" s="126">
        <v>1.0069999999999999</v>
      </c>
      <c r="G294" s="94">
        <f t="shared" si="95"/>
        <v>0</v>
      </c>
      <c r="H294" s="99">
        <f t="shared" si="96"/>
        <v>0</v>
      </c>
      <c r="I294" s="98">
        <f t="shared" si="98"/>
        <v>0</v>
      </c>
      <c r="K294" s="97">
        <f t="shared" si="99"/>
        <v>0</v>
      </c>
      <c r="L294" s="98">
        <v>0</v>
      </c>
      <c r="M294" s="96">
        <f t="shared" si="100"/>
        <v>0</v>
      </c>
      <c r="N294" s="98">
        <v>0</v>
      </c>
      <c r="P294" s="98"/>
      <c r="Q294" s="98"/>
      <c r="R294" s="98"/>
      <c r="S294" s="132"/>
      <c r="T294" s="132"/>
      <c r="U294" s="97">
        <f t="shared" si="101"/>
        <v>0</v>
      </c>
    </row>
    <row r="295" spans="1:21" ht="12.75" x14ac:dyDescent="0.2">
      <c r="A295" s="91" t="s">
        <v>23</v>
      </c>
      <c r="B295" s="93"/>
      <c r="C295" s="99"/>
      <c r="D295" s="113">
        <f t="shared" si="97"/>
        <v>0</v>
      </c>
      <c r="E295" s="110">
        <f t="shared" si="102"/>
        <v>0</v>
      </c>
      <c r="F295" s="126">
        <v>1.0029999999999999</v>
      </c>
      <c r="G295" s="94">
        <f t="shared" si="95"/>
        <v>0</v>
      </c>
      <c r="H295" s="99">
        <f t="shared" si="96"/>
        <v>0</v>
      </c>
      <c r="I295" s="98">
        <f t="shared" si="98"/>
        <v>0</v>
      </c>
      <c r="K295" s="97">
        <f t="shared" si="99"/>
        <v>0</v>
      </c>
      <c r="L295" s="98">
        <v>0</v>
      </c>
      <c r="M295" s="96">
        <f t="shared" si="100"/>
        <v>0</v>
      </c>
      <c r="N295" s="98">
        <v>0</v>
      </c>
      <c r="P295" s="98"/>
      <c r="Q295" s="98"/>
      <c r="R295" s="98"/>
      <c r="S295" s="132"/>
      <c r="T295" s="132"/>
      <c r="U295" s="97">
        <f t="shared" si="101"/>
        <v>0</v>
      </c>
    </row>
    <row r="296" spans="1:21" ht="12.75" x14ac:dyDescent="0.2">
      <c r="A296" s="91" t="s">
        <v>24</v>
      </c>
      <c r="B296" s="93"/>
      <c r="C296" s="93"/>
      <c r="D296" s="113">
        <f t="shared" si="97"/>
        <v>0</v>
      </c>
      <c r="E296" s="110">
        <f t="shared" si="102"/>
        <v>0</v>
      </c>
      <c r="F296" s="126">
        <v>1.0029999999999999</v>
      </c>
      <c r="G296" s="94">
        <f t="shared" si="95"/>
        <v>0</v>
      </c>
      <c r="H296" s="99">
        <f t="shared" si="96"/>
        <v>0</v>
      </c>
      <c r="I296" s="98">
        <f t="shared" si="98"/>
        <v>0</v>
      </c>
      <c r="K296" s="97">
        <f t="shared" si="99"/>
        <v>0</v>
      </c>
      <c r="L296" s="98">
        <v>0</v>
      </c>
      <c r="M296" s="96">
        <f t="shared" si="100"/>
        <v>0</v>
      </c>
      <c r="N296" s="98">
        <v>0</v>
      </c>
      <c r="P296" s="98"/>
      <c r="Q296" s="98"/>
      <c r="R296" s="98"/>
      <c r="S296" s="132"/>
      <c r="T296" s="132"/>
      <c r="U296" s="97">
        <f t="shared" si="101"/>
        <v>0</v>
      </c>
    </row>
    <row r="297" spans="1:21" ht="13.5" thickBot="1" x14ac:dyDescent="0.25">
      <c r="A297" s="100" t="s">
        <v>25</v>
      </c>
      <c r="B297" s="93"/>
      <c r="C297" s="93"/>
      <c r="D297" s="113">
        <f t="shared" si="97"/>
        <v>0</v>
      </c>
      <c r="E297" s="110">
        <f t="shared" si="102"/>
        <v>0</v>
      </c>
      <c r="F297" s="127">
        <v>1</v>
      </c>
      <c r="G297" s="94">
        <f t="shared" si="95"/>
        <v>0</v>
      </c>
      <c r="H297" s="99">
        <f t="shared" si="96"/>
        <v>0</v>
      </c>
      <c r="I297" s="98">
        <f t="shared" si="98"/>
        <v>0</v>
      </c>
      <c r="K297" s="97">
        <f t="shared" si="99"/>
        <v>0</v>
      </c>
      <c r="L297" s="101">
        <v>0</v>
      </c>
      <c r="M297" s="96">
        <f t="shared" si="100"/>
        <v>0</v>
      </c>
      <c r="N297" s="101">
        <v>0</v>
      </c>
      <c r="P297" s="101"/>
      <c r="Q297" s="101"/>
      <c r="R297" s="101"/>
      <c r="S297" s="133"/>
      <c r="T297" s="133"/>
      <c r="U297" s="97">
        <f t="shared" si="101"/>
        <v>0</v>
      </c>
    </row>
    <row r="298" spans="1:21" ht="12" thickBot="1" x14ac:dyDescent="0.25">
      <c r="A298" s="81" t="s">
        <v>26</v>
      </c>
      <c r="B298" s="102">
        <f>SUM(B286:B297)</f>
        <v>3423325</v>
      </c>
      <c r="C298" s="103">
        <f>SUM(C286:C297)</f>
        <v>618255.17499999993</v>
      </c>
      <c r="D298" s="102">
        <f>SUM(D286:D297)</f>
        <v>3423.3249999999998</v>
      </c>
      <c r="E298" s="102">
        <f>SUM(E286:E297)</f>
        <v>2805069.8250000002</v>
      </c>
      <c r="F298" s="51"/>
      <c r="G298" s="102">
        <f>SUM(G286:G297)</f>
        <v>3478644.61</v>
      </c>
      <c r="H298" s="102">
        <f>SUM(H286:H297)</f>
        <v>2850398.6671099998</v>
      </c>
      <c r="I298" s="105">
        <f>SUM(I286:I297)</f>
        <v>205779.32500000001</v>
      </c>
      <c r="K298" s="105">
        <f>SUM(K286:K297)</f>
        <v>824034.5</v>
      </c>
      <c r="L298" s="105">
        <f>SUM(L286:L297)</f>
        <v>0</v>
      </c>
      <c r="M298" s="105">
        <f>SUM(M286:M297)</f>
        <v>0</v>
      </c>
      <c r="N298" s="105">
        <f>SUM(N286:N297)</f>
        <v>0</v>
      </c>
      <c r="P298" s="120">
        <f>SUM(P286:P297)</f>
        <v>57549</v>
      </c>
      <c r="Q298" s="120">
        <f>SUM(Q286:Q297)</f>
        <v>82160</v>
      </c>
      <c r="R298" s="120">
        <f>SUM(R286:R297)</f>
        <v>31837</v>
      </c>
      <c r="S298" s="120"/>
      <c r="T298" s="120">
        <f>SUM(T286:T297)</f>
        <v>30810</v>
      </c>
      <c r="U298" s="120">
        <f>SUM(U286:U297)</f>
        <v>3423.3249999999998</v>
      </c>
    </row>
    <row r="301" spans="1:21" ht="12" thickBot="1" x14ac:dyDescent="0.25"/>
    <row r="302" spans="1:21" x14ac:dyDescent="0.2">
      <c r="A302" s="63" t="s">
        <v>27</v>
      </c>
      <c r="B302" s="64" t="s">
        <v>102</v>
      </c>
      <c r="C302" s="64"/>
      <c r="D302" s="64"/>
      <c r="E302" s="84"/>
      <c r="G302" s="62"/>
      <c r="K302" s="85"/>
      <c r="N302" s="60">
        <v>13</v>
      </c>
    </row>
    <row r="303" spans="1:21" ht="12" thickBot="1" x14ac:dyDescent="0.25">
      <c r="A303" s="86" t="s">
        <v>1</v>
      </c>
      <c r="B303" s="108" t="s">
        <v>103</v>
      </c>
      <c r="C303" s="87"/>
      <c r="D303" s="75"/>
      <c r="E303" s="70"/>
      <c r="F303" s="77"/>
      <c r="G303" s="78"/>
      <c r="H303" s="79"/>
    </row>
    <row r="304" spans="1:21" ht="12" thickBot="1" x14ac:dyDescent="0.25">
      <c r="A304" s="88" t="s">
        <v>3</v>
      </c>
      <c r="B304" s="39" t="s">
        <v>4</v>
      </c>
      <c r="C304" s="77" t="s">
        <v>5</v>
      </c>
      <c r="D304" s="39" t="s">
        <v>90</v>
      </c>
      <c r="E304" s="39" t="s">
        <v>6</v>
      </c>
      <c r="F304" s="65" t="s">
        <v>7</v>
      </c>
      <c r="G304" s="39" t="s">
        <v>68</v>
      </c>
      <c r="H304" s="39" t="s">
        <v>8</v>
      </c>
      <c r="I304" s="43" t="s">
        <v>65</v>
      </c>
      <c r="K304" s="43" t="s">
        <v>71</v>
      </c>
      <c r="L304" s="43" t="s">
        <v>73</v>
      </c>
      <c r="M304" s="89" t="s">
        <v>75</v>
      </c>
      <c r="N304" s="43" t="s">
        <v>76</v>
      </c>
      <c r="P304" s="142" t="s">
        <v>92</v>
      </c>
      <c r="Q304" s="143"/>
      <c r="R304" s="143"/>
      <c r="S304" s="143"/>
      <c r="T304" s="143"/>
      <c r="U304" s="144"/>
    </row>
    <row r="305" spans="1:21" ht="12" thickBot="1" x14ac:dyDescent="0.25">
      <c r="A305" s="40"/>
      <c r="B305" s="41" t="s">
        <v>9</v>
      </c>
      <c r="C305" s="48" t="s">
        <v>10</v>
      </c>
      <c r="D305" s="41" t="s">
        <v>91</v>
      </c>
      <c r="E305" s="41" t="s">
        <v>67</v>
      </c>
      <c r="F305" s="73" t="s">
        <v>12</v>
      </c>
      <c r="G305" s="41" t="s">
        <v>69</v>
      </c>
      <c r="H305" s="41" t="s">
        <v>70</v>
      </c>
      <c r="I305" s="44" t="s">
        <v>66</v>
      </c>
      <c r="K305" s="44" t="s">
        <v>72</v>
      </c>
      <c r="L305" s="44" t="s">
        <v>74</v>
      </c>
      <c r="M305" s="90" t="s">
        <v>69</v>
      </c>
      <c r="N305" s="44" t="s">
        <v>77</v>
      </c>
      <c r="P305" s="121" t="s">
        <v>93</v>
      </c>
      <c r="Q305" s="122" t="s">
        <v>94</v>
      </c>
      <c r="R305" s="122" t="s">
        <v>95</v>
      </c>
      <c r="S305" s="130" t="s">
        <v>106</v>
      </c>
      <c r="T305" s="130" t="s">
        <v>96</v>
      </c>
      <c r="U305" s="134" t="s">
        <v>97</v>
      </c>
    </row>
    <row r="306" spans="1:21" ht="12.75" x14ac:dyDescent="0.2">
      <c r="A306" s="91" t="s">
        <v>14</v>
      </c>
      <c r="B306" s="92">
        <v>0</v>
      </c>
      <c r="C306" s="93">
        <v>0</v>
      </c>
      <c r="D306" s="113">
        <f>B306*0.1%</f>
        <v>0</v>
      </c>
      <c r="E306" s="109">
        <f>B306-C306</f>
        <v>0</v>
      </c>
      <c r="F306" s="125">
        <v>1.036</v>
      </c>
      <c r="G306" s="94">
        <f t="shared" ref="G306:G317" si="103">B306*F306</f>
        <v>0</v>
      </c>
      <c r="H306" s="99">
        <f t="shared" ref="H306:H317" si="104">E306*F306</f>
        <v>0</v>
      </c>
      <c r="I306" s="98">
        <f>P306+Q306+R306+T306+U306</f>
        <v>0</v>
      </c>
      <c r="K306" s="97">
        <f>C306+I306</f>
        <v>0</v>
      </c>
      <c r="L306" s="96">
        <v>0</v>
      </c>
      <c r="M306" s="96">
        <f>L306*F306</f>
        <v>0</v>
      </c>
      <c r="N306" s="96">
        <v>0</v>
      </c>
      <c r="P306" s="96">
        <v>0</v>
      </c>
      <c r="Q306" s="96">
        <v>0</v>
      </c>
      <c r="R306" s="96">
        <v>0</v>
      </c>
      <c r="S306" s="131"/>
      <c r="T306" s="131">
        <v>0</v>
      </c>
      <c r="U306" s="97">
        <f>D306</f>
        <v>0</v>
      </c>
    </row>
    <row r="307" spans="1:21" ht="12.75" x14ac:dyDescent="0.2">
      <c r="A307" s="91" t="s">
        <v>15</v>
      </c>
      <c r="B307" s="93">
        <v>0</v>
      </c>
      <c r="C307" s="93">
        <v>0</v>
      </c>
      <c r="D307" s="113">
        <f t="shared" ref="D307:D317" si="105">B307*0.1%</f>
        <v>0</v>
      </c>
      <c r="E307" s="110">
        <f>B307-C307</f>
        <v>0</v>
      </c>
      <c r="F307" s="126">
        <v>1.026</v>
      </c>
      <c r="G307" s="94">
        <f t="shared" si="103"/>
        <v>0</v>
      </c>
      <c r="H307" s="99">
        <f t="shared" si="104"/>
        <v>0</v>
      </c>
      <c r="I307" s="98">
        <f t="shared" ref="I307:I317" si="106">P307+Q307+R307+T307+U307</f>
        <v>0</v>
      </c>
      <c r="K307" s="97">
        <f t="shared" ref="K307:K317" si="107">C307+I307</f>
        <v>0</v>
      </c>
      <c r="L307" s="98">
        <v>0</v>
      </c>
      <c r="M307" s="96">
        <f t="shared" ref="M307:M317" si="108">L307*F307</f>
        <v>0</v>
      </c>
      <c r="N307" s="98">
        <v>0</v>
      </c>
      <c r="P307" s="98">
        <v>0</v>
      </c>
      <c r="Q307" s="98">
        <v>0</v>
      </c>
      <c r="R307" s="98">
        <v>0</v>
      </c>
      <c r="S307" s="132"/>
      <c r="T307" s="132">
        <v>0</v>
      </c>
      <c r="U307" s="97">
        <f t="shared" ref="U307:U317" si="109">D307</f>
        <v>0</v>
      </c>
    </row>
    <row r="308" spans="1:21" ht="12.75" x14ac:dyDescent="0.2">
      <c r="A308" s="91" t="s">
        <v>16</v>
      </c>
      <c r="B308" s="99">
        <v>0</v>
      </c>
      <c r="C308" s="99">
        <v>0</v>
      </c>
      <c r="D308" s="113">
        <f t="shared" si="105"/>
        <v>0</v>
      </c>
      <c r="E308" s="110">
        <f t="shared" ref="E308:E317" si="110">B308-C308</f>
        <v>0</v>
      </c>
      <c r="F308" s="126">
        <v>1.022</v>
      </c>
      <c r="G308" s="94">
        <f t="shared" si="103"/>
        <v>0</v>
      </c>
      <c r="H308" s="99">
        <f t="shared" si="104"/>
        <v>0</v>
      </c>
      <c r="I308" s="98">
        <f t="shared" si="106"/>
        <v>0</v>
      </c>
      <c r="K308" s="97">
        <f t="shared" si="107"/>
        <v>0</v>
      </c>
      <c r="L308" s="98">
        <v>0</v>
      </c>
      <c r="M308" s="96">
        <f t="shared" si="108"/>
        <v>0</v>
      </c>
      <c r="N308" s="98">
        <v>0</v>
      </c>
      <c r="P308" s="98">
        <v>0</v>
      </c>
      <c r="Q308" s="98">
        <v>0</v>
      </c>
      <c r="R308" s="98">
        <v>0</v>
      </c>
      <c r="S308" s="132"/>
      <c r="T308" s="132">
        <v>0</v>
      </c>
      <c r="U308" s="97">
        <f t="shared" si="109"/>
        <v>0</v>
      </c>
    </row>
    <row r="309" spans="1:21" ht="12.75" x14ac:dyDescent="0.2">
      <c r="A309" s="91" t="s">
        <v>17</v>
      </c>
      <c r="B309" s="99">
        <v>673750</v>
      </c>
      <c r="C309" s="99">
        <f>71148+47163-674</f>
        <v>117637</v>
      </c>
      <c r="D309" s="113">
        <f t="shared" si="105"/>
        <v>673.75</v>
      </c>
      <c r="E309" s="110">
        <f t="shared" si="110"/>
        <v>556113</v>
      </c>
      <c r="F309" s="126">
        <v>1.016</v>
      </c>
      <c r="G309" s="94">
        <f t="shared" si="103"/>
        <v>684530</v>
      </c>
      <c r="H309" s="99">
        <f t="shared" si="104"/>
        <v>565010.80799999996</v>
      </c>
      <c r="I309" s="98">
        <f t="shared" si="106"/>
        <v>44131.75</v>
      </c>
      <c r="K309" s="97">
        <f t="shared" si="107"/>
        <v>161768.75</v>
      </c>
      <c r="L309" s="98">
        <v>0</v>
      </c>
      <c r="M309" s="96">
        <f t="shared" si="108"/>
        <v>0</v>
      </c>
      <c r="N309" s="98">
        <v>0</v>
      </c>
      <c r="P309" s="98">
        <v>10915</v>
      </c>
      <c r="Q309" s="98">
        <v>20213</v>
      </c>
      <c r="R309" s="98">
        <v>6266</v>
      </c>
      <c r="S309" s="132"/>
      <c r="T309" s="132">
        <v>6064</v>
      </c>
      <c r="U309" s="97">
        <f t="shared" si="109"/>
        <v>673.75</v>
      </c>
    </row>
    <row r="310" spans="1:21" ht="12.75" x14ac:dyDescent="0.2">
      <c r="A310" s="91" t="s">
        <v>18</v>
      </c>
      <c r="B310" s="99">
        <v>673750</v>
      </c>
      <c r="C310" s="93">
        <f>71148+47163-D310</f>
        <v>117637.25</v>
      </c>
      <c r="D310" s="113">
        <f t="shared" si="105"/>
        <v>673.75</v>
      </c>
      <c r="E310" s="110">
        <f t="shared" si="110"/>
        <v>556112.75</v>
      </c>
      <c r="F310" s="126">
        <v>1.014</v>
      </c>
      <c r="G310" s="94">
        <f t="shared" si="103"/>
        <v>683182.5</v>
      </c>
      <c r="H310" s="99">
        <f t="shared" si="104"/>
        <v>563898.32850000006</v>
      </c>
      <c r="I310" s="98">
        <f t="shared" si="106"/>
        <v>44131.75</v>
      </c>
      <c r="K310" s="97">
        <f t="shared" si="107"/>
        <v>161769</v>
      </c>
      <c r="L310" s="98">
        <v>0</v>
      </c>
      <c r="M310" s="96">
        <f t="shared" si="108"/>
        <v>0</v>
      </c>
      <c r="N310" s="98">
        <v>0</v>
      </c>
      <c r="P310" s="98">
        <v>10915</v>
      </c>
      <c r="Q310" s="98">
        <v>20213</v>
      </c>
      <c r="R310" s="98">
        <v>6266</v>
      </c>
      <c r="S310" s="132"/>
      <c r="T310" s="132">
        <v>6064</v>
      </c>
      <c r="U310" s="97">
        <f t="shared" si="109"/>
        <v>673.75</v>
      </c>
    </row>
    <row r="311" spans="1:21" ht="12.75" x14ac:dyDescent="0.2">
      <c r="A311" s="91" t="s">
        <v>19</v>
      </c>
      <c r="B311" s="93">
        <v>742424</v>
      </c>
      <c r="C311" s="93">
        <f>78400+51970-D311</f>
        <v>129627.576</v>
      </c>
      <c r="D311" s="113">
        <f t="shared" si="105"/>
        <v>742.42399999999998</v>
      </c>
      <c r="E311" s="110">
        <f t="shared" si="110"/>
        <v>612796.424</v>
      </c>
      <c r="F311" s="126">
        <v>1.012</v>
      </c>
      <c r="G311" s="94">
        <f t="shared" si="103"/>
        <v>751333.08799999999</v>
      </c>
      <c r="H311" s="99">
        <f t="shared" si="104"/>
        <v>620149.981088</v>
      </c>
      <c r="I311" s="98">
        <f t="shared" si="106"/>
        <v>48629.423999999999</v>
      </c>
      <c r="K311" s="97">
        <f t="shared" si="107"/>
        <v>178257</v>
      </c>
      <c r="L311" s="98">
        <v>0</v>
      </c>
      <c r="M311" s="96">
        <f t="shared" si="108"/>
        <v>0</v>
      </c>
      <c r="N311" s="98">
        <v>0</v>
      </c>
      <c r="P311" s="98">
        <v>12027</v>
      </c>
      <c r="Q311" s="98">
        <v>22273</v>
      </c>
      <c r="R311" s="98">
        <v>6905</v>
      </c>
      <c r="S311" s="132"/>
      <c r="T311" s="132">
        <v>6682</v>
      </c>
      <c r="U311" s="97">
        <f t="shared" si="109"/>
        <v>742.42399999999998</v>
      </c>
    </row>
    <row r="312" spans="1:21" ht="12.75" x14ac:dyDescent="0.2">
      <c r="A312" s="91" t="s">
        <v>20</v>
      </c>
      <c r="B312" s="93">
        <v>691941</v>
      </c>
      <c r="C312" s="93">
        <f>73069+48436</f>
        <v>121505</v>
      </c>
      <c r="D312" s="113">
        <f t="shared" si="105"/>
        <v>691.94100000000003</v>
      </c>
      <c r="E312" s="110">
        <f t="shared" si="110"/>
        <v>570436</v>
      </c>
      <c r="F312" s="126">
        <v>1.0169999999999999</v>
      </c>
      <c r="G312" s="94">
        <f t="shared" si="103"/>
        <v>703703.99699999997</v>
      </c>
      <c r="H312" s="99">
        <f t="shared" si="104"/>
        <v>580133.41199999989</v>
      </c>
      <c r="I312" s="98">
        <f t="shared" si="106"/>
        <v>47950.940999999999</v>
      </c>
      <c r="K312" s="97">
        <f t="shared" si="107"/>
        <v>169455.94099999999</v>
      </c>
      <c r="L312" s="98">
        <v>0</v>
      </c>
      <c r="M312" s="96">
        <f t="shared" si="108"/>
        <v>0</v>
      </c>
      <c r="N312" s="98">
        <v>0</v>
      </c>
      <c r="P312" s="98">
        <v>13839</v>
      </c>
      <c r="Q312" s="98">
        <v>20758</v>
      </c>
      <c r="R312" s="98">
        <v>6435</v>
      </c>
      <c r="S312" s="132"/>
      <c r="T312" s="132">
        <v>6227</v>
      </c>
      <c r="U312" s="97">
        <f t="shared" si="109"/>
        <v>691.94100000000003</v>
      </c>
    </row>
    <row r="313" spans="1:21" ht="12.75" x14ac:dyDescent="0.2">
      <c r="A313" s="91" t="s">
        <v>21</v>
      </c>
      <c r="B313" s="93"/>
      <c r="C313" s="93"/>
      <c r="D313" s="113">
        <f t="shared" si="105"/>
        <v>0</v>
      </c>
      <c r="E313" s="110">
        <f t="shared" si="110"/>
        <v>0</v>
      </c>
      <c r="F313" s="126">
        <v>1.008</v>
      </c>
      <c r="G313" s="94">
        <f t="shared" si="103"/>
        <v>0</v>
      </c>
      <c r="H313" s="99">
        <f t="shared" si="104"/>
        <v>0</v>
      </c>
      <c r="I313" s="98">
        <f t="shared" si="106"/>
        <v>0</v>
      </c>
      <c r="K313" s="97">
        <f t="shared" si="107"/>
        <v>0</v>
      </c>
      <c r="L313" s="98">
        <v>0</v>
      </c>
      <c r="M313" s="96">
        <f t="shared" si="108"/>
        <v>0</v>
      </c>
      <c r="N313" s="98">
        <v>0</v>
      </c>
      <c r="P313" s="98"/>
      <c r="Q313" s="98"/>
      <c r="R313" s="98"/>
      <c r="S313" s="132"/>
      <c r="T313" s="132"/>
      <c r="U313" s="97">
        <f t="shared" si="109"/>
        <v>0</v>
      </c>
    </row>
    <row r="314" spans="1:21" ht="12.75" x14ac:dyDescent="0.2">
      <c r="A314" s="91" t="s">
        <v>22</v>
      </c>
      <c r="B314" s="93"/>
      <c r="C314" s="93"/>
      <c r="D314" s="113">
        <f t="shared" si="105"/>
        <v>0</v>
      </c>
      <c r="E314" s="110">
        <f t="shared" si="110"/>
        <v>0</v>
      </c>
      <c r="F314" s="126">
        <v>1.0069999999999999</v>
      </c>
      <c r="G314" s="94">
        <f t="shared" si="103"/>
        <v>0</v>
      </c>
      <c r="H314" s="99">
        <f t="shared" si="104"/>
        <v>0</v>
      </c>
      <c r="I314" s="98">
        <f t="shared" si="106"/>
        <v>0</v>
      </c>
      <c r="K314" s="97">
        <f t="shared" si="107"/>
        <v>0</v>
      </c>
      <c r="L314" s="98">
        <v>0</v>
      </c>
      <c r="M314" s="96">
        <f t="shared" si="108"/>
        <v>0</v>
      </c>
      <c r="N314" s="98">
        <v>0</v>
      </c>
      <c r="P314" s="98"/>
      <c r="Q314" s="98"/>
      <c r="R314" s="98"/>
      <c r="S314" s="132"/>
      <c r="T314" s="132">
        <v>0</v>
      </c>
      <c r="U314" s="97">
        <f t="shared" si="109"/>
        <v>0</v>
      </c>
    </row>
    <row r="315" spans="1:21" ht="12.75" x14ac:dyDescent="0.2">
      <c r="A315" s="91" t="s">
        <v>23</v>
      </c>
      <c r="B315" s="93"/>
      <c r="C315" s="99"/>
      <c r="D315" s="113">
        <f t="shared" si="105"/>
        <v>0</v>
      </c>
      <c r="E315" s="110">
        <f t="shared" si="110"/>
        <v>0</v>
      </c>
      <c r="F315" s="126">
        <v>1.0029999999999999</v>
      </c>
      <c r="G315" s="94">
        <f t="shared" si="103"/>
        <v>0</v>
      </c>
      <c r="H315" s="99">
        <f t="shared" si="104"/>
        <v>0</v>
      </c>
      <c r="I315" s="98">
        <f t="shared" si="106"/>
        <v>0</v>
      </c>
      <c r="K315" s="97">
        <f t="shared" si="107"/>
        <v>0</v>
      </c>
      <c r="L315" s="98">
        <v>0</v>
      </c>
      <c r="M315" s="96">
        <f t="shared" si="108"/>
        <v>0</v>
      </c>
      <c r="N315" s="98">
        <v>0</v>
      </c>
      <c r="P315" s="98"/>
      <c r="Q315" s="98"/>
      <c r="R315" s="98"/>
      <c r="S315" s="132"/>
      <c r="T315" s="132"/>
      <c r="U315" s="97">
        <f t="shared" si="109"/>
        <v>0</v>
      </c>
    </row>
    <row r="316" spans="1:21" ht="12.75" x14ac:dyDescent="0.2">
      <c r="A316" s="91" t="s">
        <v>24</v>
      </c>
      <c r="B316" s="93"/>
      <c r="C316" s="93"/>
      <c r="D316" s="113">
        <f t="shared" si="105"/>
        <v>0</v>
      </c>
      <c r="E316" s="110">
        <f t="shared" si="110"/>
        <v>0</v>
      </c>
      <c r="F316" s="126">
        <v>1.0029999999999999</v>
      </c>
      <c r="G316" s="94">
        <f t="shared" si="103"/>
        <v>0</v>
      </c>
      <c r="H316" s="99">
        <f t="shared" si="104"/>
        <v>0</v>
      </c>
      <c r="I316" s="98">
        <f t="shared" si="106"/>
        <v>0</v>
      </c>
      <c r="K316" s="97">
        <f t="shared" si="107"/>
        <v>0</v>
      </c>
      <c r="L316" s="98">
        <v>0</v>
      </c>
      <c r="M316" s="96">
        <f t="shared" si="108"/>
        <v>0</v>
      </c>
      <c r="N316" s="98">
        <v>0</v>
      </c>
      <c r="P316" s="98"/>
      <c r="Q316" s="98"/>
      <c r="R316" s="98"/>
      <c r="S316" s="132"/>
      <c r="T316" s="132"/>
      <c r="U316" s="97">
        <f t="shared" si="109"/>
        <v>0</v>
      </c>
    </row>
    <row r="317" spans="1:21" ht="13.5" thickBot="1" x14ac:dyDescent="0.25">
      <c r="A317" s="100" t="s">
        <v>25</v>
      </c>
      <c r="B317" s="93"/>
      <c r="C317" s="93"/>
      <c r="D317" s="113">
        <f t="shared" si="105"/>
        <v>0</v>
      </c>
      <c r="E317" s="110">
        <f t="shared" si="110"/>
        <v>0</v>
      </c>
      <c r="F317" s="127">
        <v>1</v>
      </c>
      <c r="G317" s="94">
        <f t="shared" si="103"/>
        <v>0</v>
      </c>
      <c r="H317" s="99">
        <f t="shared" si="104"/>
        <v>0</v>
      </c>
      <c r="I317" s="98">
        <f t="shared" si="106"/>
        <v>0</v>
      </c>
      <c r="K317" s="97">
        <f t="shared" si="107"/>
        <v>0</v>
      </c>
      <c r="L317" s="101">
        <v>0</v>
      </c>
      <c r="M317" s="96">
        <f t="shared" si="108"/>
        <v>0</v>
      </c>
      <c r="N317" s="101">
        <v>0</v>
      </c>
      <c r="P317" s="101"/>
      <c r="Q317" s="101"/>
      <c r="R317" s="101"/>
      <c r="S317" s="133"/>
      <c r="T317" s="133"/>
      <c r="U317" s="97">
        <f t="shared" si="109"/>
        <v>0</v>
      </c>
    </row>
    <row r="318" spans="1:21" ht="12" thickBot="1" x14ac:dyDescent="0.25">
      <c r="A318" s="81" t="s">
        <v>26</v>
      </c>
      <c r="B318" s="102">
        <f>SUM(B306:B317)</f>
        <v>2781865</v>
      </c>
      <c r="C318" s="103">
        <f>SUM(C306:C317)</f>
        <v>486406.826</v>
      </c>
      <c r="D318" s="102">
        <f>SUM(D306:D317)</f>
        <v>2781.8649999999998</v>
      </c>
      <c r="E318" s="102">
        <f>SUM(E306:E317)</f>
        <v>2295458.1740000001</v>
      </c>
      <c r="F318" s="51"/>
      <c r="G318" s="102">
        <f>SUM(G306:G317)</f>
        <v>2822749.585</v>
      </c>
      <c r="H318" s="102">
        <f>SUM(H306:H317)</f>
        <v>2329192.5295879999</v>
      </c>
      <c r="I318" s="105">
        <f>SUM(I306:I317)</f>
        <v>184843.86499999999</v>
      </c>
      <c r="K318" s="105">
        <f>SUM(K306:K317)</f>
        <v>671250.69099999999</v>
      </c>
      <c r="L318" s="105">
        <f>SUM(L306:L317)</f>
        <v>0</v>
      </c>
      <c r="M318" s="105">
        <f>SUM(M306:M317)</f>
        <v>0</v>
      </c>
      <c r="N318" s="105">
        <f>SUM(N306:N317)</f>
        <v>0</v>
      </c>
      <c r="P318" s="120">
        <f>SUM(P306:P317)</f>
        <v>47696</v>
      </c>
      <c r="Q318" s="120">
        <f>SUM(Q306:Q317)</f>
        <v>83457</v>
      </c>
      <c r="R318" s="120">
        <f>SUM(R306:R317)</f>
        <v>25872</v>
      </c>
      <c r="S318" s="120"/>
      <c r="T318" s="120">
        <f>SUM(T306:T317)</f>
        <v>25037</v>
      </c>
      <c r="U318" s="120">
        <f>SUM(U306:U317)</f>
        <v>2781.8649999999998</v>
      </c>
    </row>
    <row r="321" spans="1:21" ht="12" thickBot="1" x14ac:dyDescent="0.25"/>
    <row r="322" spans="1:21" x14ac:dyDescent="0.2">
      <c r="A322" s="63" t="s">
        <v>27</v>
      </c>
      <c r="B322" s="64" t="s">
        <v>104</v>
      </c>
      <c r="C322" s="64"/>
      <c r="D322" s="64"/>
      <c r="E322" s="84"/>
      <c r="G322" s="62"/>
      <c r="K322" s="85"/>
      <c r="N322" s="60">
        <v>14</v>
      </c>
    </row>
    <row r="323" spans="1:21" ht="12" thickBot="1" x14ac:dyDescent="0.25">
      <c r="A323" s="86" t="s">
        <v>1</v>
      </c>
      <c r="B323" s="108" t="s">
        <v>105</v>
      </c>
      <c r="C323" s="87"/>
      <c r="D323" s="75"/>
      <c r="E323" s="70"/>
      <c r="F323" s="77"/>
      <c r="G323" s="78"/>
      <c r="H323" s="79"/>
    </row>
    <row r="324" spans="1:21" ht="12" thickBot="1" x14ac:dyDescent="0.25">
      <c r="A324" s="88" t="s">
        <v>3</v>
      </c>
      <c r="B324" s="39" t="s">
        <v>4</v>
      </c>
      <c r="C324" s="77" t="s">
        <v>5</v>
      </c>
      <c r="D324" s="39" t="s">
        <v>90</v>
      </c>
      <c r="E324" s="39" t="s">
        <v>6</v>
      </c>
      <c r="F324" s="65" t="s">
        <v>7</v>
      </c>
      <c r="G324" s="39" t="s">
        <v>68</v>
      </c>
      <c r="H324" s="39" t="s">
        <v>8</v>
      </c>
      <c r="I324" s="43" t="s">
        <v>65</v>
      </c>
      <c r="K324" s="43" t="s">
        <v>71</v>
      </c>
      <c r="L324" s="43" t="s">
        <v>73</v>
      </c>
      <c r="M324" s="89" t="s">
        <v>75</v>
      </c>
      <c r="N324" s="43" t="s">
        <v>76</v>
      </c>
      <c r="P324" s="142" t="s">
        <v>92</v>
      </c>
      <c r="Q324" s="143"/>
      <c r="R324" s="143"/>
      <c r="S324" s="143"/>
      <c r="T324" s="143"/>
      <c r="U324" s="144"/>
    </row>
    <row r="325" spans="1:21" ht="12" thickBot="1" x14ac:dyDescent="0.25">
      <c r="A325" s="40"/>
      <c r="B325" s="41" t="s">
        <v>9</v>
      </c>
      <c r="C325" s="48" t="s">
        <v>10</v>
      </c>
      <c r="D325" s="41" t="s">
        <v>91</v>
      </c>
      <c r="E325" s="41" t="s">
        <v>67</v>
      </c>
      <c r="F325" s="73" t="s">
        <v>12</v>
      </c>
      <c r="G325" s="41" t="s">
        <v>69</v>
      </c>
      <c r="H325" s="41" t="s">
        <v>70</v>
      </c>
      <c r="I325" s="44" t="s">
        <v>66</v>
      </c>
      <c r="K325" s="44" t="s">
        <v>72</v>
      </c>
      <c r="L325" s="44" t="s">
        <v>74</v>
      </c>
      <c r="M325" s="90" t="s">
        <v>69</v>
      </c>
      <c r="N325" s="44" t="s">
        <v>77</v>
      </c>
      <c r="P325" s="121" t="s">
        <v>93</v>
      </c>
      <c r="Q325" s="122" t="s">
        <v>94</v>
      </c>
      <c r="R325" s="122" t="s">
        <v>95</v>
      </c>
      <c r="S325" s="130" t="s">
        <v>106</v>
      </c>
      <c r="T325" s="130" t="s">
        <v>96</v>
      </c>
      <c r="U325" s="134" t="s">
        <v>97</v>
      </c>
    </row>
    <row r="326" spans="1:21" ht="12.75" x14ac:dyDescent="0.2">
      <c r="A326" s="91" t="s">
        <v>14</v>
      </c>
      <c r="B326" s="92">
        <v>0</v>
      </c>
      <c r="C326" s="93">
        <v>0</v>
      </c>
      <c r="D326" s="113">
        <f>B326*0.1%</f>
        <v>0</v>
      </c>
      <c r="E326" s="109">
        <f>B326-C326</f>
        <v>0</v>
      </c>
      <c r="F326" s="125">
        <v>1.036</v>
      </c>
      <c r="G326" s="94">
        <f t="shared" ref="G326:G337" si="111">B326*F326</f>
        <v>0</v>
      </c>
      <c r="H326" s="99">
        <f t="shared" ref="H326:H337" si="112">E326*F326</f>
        <v>0</v>
      </c>
      <c r="I326" s="98">
        <f>P326+Q326+R326+T326+U326</f>
        <v>0</v>
      </c>
      <c r="K326" s="97">
        <f>C326+I326</f>
        <v>0</v>
      </c>
      <c r="L326" s="96">
        <v>0</v>
      </c>
      <c r="M326" s="96">
        <f>L326*F326</f>
        <v>0</v>
      </c>
      <c r="N326" s="96">
        <v>0</v>
      </c>
      <c r="P326" s="96">
        <v>0</v>
      </c>
      <c r="Q326" s="96">
        <v>0</v>
      </c>
      <c r="R326" s="96">
        <v>0</v>
      </c>
      <c r="S326" s="131"/>
      <c r="T326" s="131">
        <v>0</v>
      </c>
      <c r="U326" s="97">
        <f>D326</f>
        <v>0</v>
      </c>
    </row>
    <row r="327" spans="1:21" ht="12.75" x14ac:dyDescent="0.2">
      <c r="A327" s="91" t="s">
        <v>15</v>
      </c>
      <c r="B327" s="93">
        <v>0</v>
      </c>
      <c r="C327" s="93">
        <v>0</v>
      </c>
      <c r="D327" s="113">
        <f t="shared" ref="D327:D337" si="113">B327*0.1%</f>
        <v>0</v>
      </c>
      <c r="E327" s="110">
        <f>B327-C327</f>
        <v>0</v>
      </c>
      <c r="F327" s="126">
        <v>1.026</v>
      </c>
      <c r="G327" s="94">
        <f t="shared" si="111"/>
        <v>0</v>
      </c>
      <c r="H327" s="99">
        <f t="shared" si="112"/>
        <v>0</v>
      </c>
      <c r="I327" s="98">
        <f t="shared" ref="I327:I337" si="114">P327+Q327+R327+T327+U327</f>
        <v>0</v>
      </c>
      <c r="K327" s="97">
        <f t="shared" ref="K327:K337" si="115">C327+I327</f>
        <v>0</v>
      </c>
      <c r="L327" s="98">
        <v>0</v>
      </c>
      <c r="M327" s="96">
        <f t="shared" ref="M327:M337" si="116">L327*F327</f>
        <v>0</v>
      </c>
      <c r="N327" s="98">
        <v>0</v>
      </c>
      <c r="P327" s="98">
        <v>0</v>
      </c>
      <c r="Q327" s="98">
        <v>0</v>
      </c>
      <c r="R327" s="98">
        <v>0</v>
      </c>
      <c r="S327" s="132"/>
      <c r="T327" s="132">
        <v>0</v>
      </c>
      <c r="U327" s="97">
        <f t="shared" ref="U327:U337" si="117">D327</f>
        <v>0</v>
      </c>
    </row>
    <row r="328" spans="1:21" ht="12.75" x14ac:dyDescent="0.2">
      <c r="A328" s="91" t="s">
        <v>16</v>
      </c>
      <c r="B328" s="99">
        <v>0</v>
      </c>
      <c r="C328" s="99">
        <v>0</v>
      </c>
      <c r="D328" s="113">
        <f t="shared" si="113"/>
        <v>0</v>
      </c>
      <c r="E328" s="110">
        <f t="shared" ref="E328:E337" si="118">B328-C328</f>
        <v>0</v>
      </c>
      <c r="F328" s="126">
        <v>1.022</v>
      </c>
      <c r="G328" s="94">
        <f t="shared" si="111"/>
        <v>0</v>
      </c>
      <c r="H328" s="99">
        <f t="shared" si="112"/>
        <v>0</v>
      </c>
      <c r="I328" s="98">
        <f t="shared" si="114"/>
        <v>0</v>
      </c>
      <c r="K328" s="97">
        <f t="shared" si="115"/>
        <v>0</v>
      </c>
      <c r="L328" s="98">
        <v>0</v>
      </c>
      <c r="M328" s="96">
        <f t="shared" si="116"/>
        <v>0</v>
      </c>
      <c r="N328" s="98">
        <v>0</v>
      </c>
      <c r="P328" s="98">
        <v>0</v>
      </c>
      <c r="Q328" s="98">
        <v>0</v>
      </c>
      <c r="R328" s="98">
        <v>0</v>
      </c>
      <c r="S328" s="132"/>
      <c r="T328" s="132">
        <v>0</v>
      </c>
      <c r="U328" s="97">
        <f t="shared" si="117"/>
        <v>0</v>
      </c>
    </row>
    <row r="329" spans="1:21" ht="12.75" x14ac:dyDescent="0.2">
      <c r="A329" s="91" t="s">
        <v>17</v>
      </c>
      <c r="B329" s="99">
        <v>561459</v>
      </c>
      <c r="C329" s="99">
        <f>59964+39302-561</f>
        <v>98705</v>
      </c>
      <c r="D329" s="113">
        <f t="shared" si="113"/>
        <v>561.45900000000006</v>
      </c>
      <c r="E329" s="110">
        <f t="shared" si="118"/>
        <v>462754</v>
      </c>
      <c r="F329" s="126">
        <v>1.016</v>
      </c>
      <c r="G329" s="94">
        <f t="shared" si="111"/>
        <v>570442.34400000004</v>
      </c>
      <c r="H329" s="99">
        <f t="shared" si="112"/>
        <v>470158.06400000001</v>
      </c>
      <c r="I329" s="98">
        <f t="shared" si="114"/>
        <v>36776.459000000003</v>
      </c>
      <c r="K329" s="97">
        <f t="shared" si="115"/>
        <v>135481.459</v>
      </c>
      <c r="L329" s="98">
        <v>0</v>
      </c>
      <c r="M329" s="96">
        <f t="shared" si="116"/>
        <v>0</v>
      </c>
      <c r="N329" s="98">
        <v>0</v>
      </c>
      <c r="P329" s="98">
        <v>9096</v>
      </c>
      <c r="Q329" s="98">
        <v>16844</v>
      </c>
      <c r="R329" s="98">
        <v>5222</v>
      </c>
      <c r="S329" s="132"/>
      <c r="T329" s="132">
        <v>5053</v>
      </c>
      <c r="U329" s="97">
        <f t="shared" si="117"/>
        <v>561.45900000000006</v>
      </c>
    </row>
    <row r="330" spans="1:21" ht="12.75" x14ac:dyDescent="0.2">
      <c r="A330" s="91" t="s">
        <v>18</v>
      </c>
      <c r="B330" s="99">
        <v>673750</v>
      </c>
      <c r="C330" s="93">
        <f>71957+47163-D330</f>
        <v>118446.25</v>
      </c>
      <c r="D330" s="113">
        <f t="shared" si="113"/>
        <v>673.75</v>
      </c>
      <c r="E330" s="110">
        <f t="shared" si="118"/>
        <v>555303.75</v>
      </c>
      <c r="F330" s="126">
        <v>1.014</v>
      </c>
      <c r="G330" s="94">
        <f t="shared" si="111"/>
        <v>683182.5</v>
      </c>
      <c r="H330" s="99">
        <f t="shared" si="112"/>
        <v>563078.00250000006</v>
      </c>
      <c r="I330" s="98">
        <f t="shared" si="114"/>
        <v>44131.75</v>
      </c>
      <c r="K330" s="97">
        <f t="shared" si="115"/>
        <v>162578</v>
      </c>
      <c r="L330" s="98">
        <v>0</v>
      </c>
      <c r="M330" s="96">
        <f t="shared" si="116"/>
        <v>0</v>
      </c>
      <c r="N330" s="98">
        <v>0</v>
      </c>
      <c r="P330" s="98">
        <v>10915</v>
      </c>
      <c r="Q330" s="98">
        <v>20213</v>
      </c>
      <c r="R330" s="98">
        <v>6266</v>
      </c>
      <c r="S330" s="132"/>
      <c r="T330" s="132">
        <v>6064</v>
      </c>
      <c r="U330" s="97">
        <f t="shared" si="117"/>
        <v>673.75</v>
      </c>
    </row>
    <row r="331" spans="1:21" ht="12.75" x14ac:dyDescent="0.2">
      <c r="A331" s="91" t="s">
        <v>19</v>
      </c>
      <c r="B331" s="93">
        <v>742424</v>
      </c>
      <c r="C331" s="93">
        <f>79291+51970-D331</f>
        <v>130518.576</v>
      </c>
      <c r="D331" s="113">
        <f t="shared" si="113"/>
        <v>742.42399999999998</v>
      </c>
      <c r="E331" s="110">
        <f t="shared" si="118"/>
        <v>611905.424</v>
      </c>
      <c r="F331" s="126">
        <v>1.012</v>
      </c>
      <c r="G331" s="94">
        <f t="shared" si="111"/>
        <v>751333.08799999999</v>
      </c>
      <c r="H331" s="99">
        <f t="shared" si="112"/>
        <v>619248.28908799996</v>
      </c>
      <c r="I331" s="98">
        <f t="shared" si="114"/>
        <v>48629.423999999999</v>
      </c>
      <c r="K331" s="97">
        <f t="shared" si="115"/>
        <v>179148</v>
      </c>
      <c r="L331" s="98">
        <v>0</v>
      </c>
      <c r="M331" s="96">
        <f t="shared" si="116"/>
        <v>0</v>
      </c>
      <c r="N331" s="98">
        <v>0</v>
      </c>
      <c r="P331" s="98">
        <v>12027</v>
      </c>
      <c r="Q331" s="98">
        <v>22273</v>
      </c>
      <c r="R331" s="98">
        <v>6905</v>
      </c>
      <c r="S331" s="132"/>
      <c r="T331" s="132">
        <v>6682</v>
      </c>
      <c r="U331" s="97">
        <f t="shared" si="117"/>
        <v>742.42399999999998</v>
      </c>
    </row>
    <row r="332" spans="1:21" ht="12.75" x14ac:dyDescent="0.2">
      <c r="A332" s="91" t="s">
        <v>20</v>
      </c>
      <c r="B332" s="93">
        <v>668876</v>
      </c>
      <c r="C332" s="93">
        <f>71436+46821-669</f>
        <v>117588</v>
      </c>
      <c r="D332" s="113">
        <f t="shared" si="113"/>
        <v>668.87599999999998</v>
      </c>
      <c r="E332" s="110">
        <f t="shared" si="118"/>
        <v>551288</v>
      </c>
      <c r="F332" s="126">
        <v>1.0169999999999999</v>
      </c>
      <c r="G332" s="94">
        <f t="shared" si="111"/>
        <v>680246.89199999999</v>
      </c>
      <c r="H332" s="99">
        <f t="shared" si="112"/>
        <v>560659.89599999995</v>
      </c>
      <c r="I332" s="98">
        <f t="shared" si="114"/>
        <v>46353.875999999997</v>
      </c>
      <c r="K332" s="97">
        <f t="shared" si="115"/>
        <v>163941.87599999999</v>
      </c>
      <c r="L332" s="98">
        <v>0</v>
      </c>
      <c r="M332" s="96">
        <f t="shared" si="116"/>
        <v>0</v>
      </c>
      <c r="N332" s="98">
        <v>0</v>
      </c>
      <c r="P332" s="98">
        <v>13378</v>
      </c>
      <c r="Q332" s="98">
        <v>20066</v>
      </c>
      <c r="R332" s="98">
        <v>6221</v>
      </c>
      <c r="S332" s="132"/>
      <c r="T332" s="132">
        <v>6020</v>
      </c>
      <c r="U332" s="97">
        <f t="shared" si="117"/>
        <v>668.87599999999998</v>
      </c>
    </row>
    <row r="333" spans="1:21" ht="12.75" x14ac:dyDescent="0.2">
      <c r="A333" s="91" t="s">
        <v>21</v>
      </c>
      <c r="B333" s="93"/>
      <c r="C333" s="93"/>
      <c r="D333" s="113">
        <f t="shared" si="113"/>
        <v>0</v>
      </c>
      <c r="E333" s="110">
        <f t="shared" si="118"/>
        <v>0</v>
      </c>
      <c r="F333" s="126">
        <v>1.008</v>
      </c>
      <c r="G333" s="94">
        <f t="shared" si="111"/>
        <v>0</v>
      </c>
      <c r="H333" s="99">
        <f t="shared" si="112"/>
        <v>0</v>
      </c>
      <c r="I333" s="98">
        <f t="shared" si="114"/>
        <v>0</v>
      </c>
      <c r="K333" s="97">
        <f t="shared" si="115"/>
        <v>0</v>
      </c>
      <c r="L333" s="98">
        <v>0</v>
      </c>
      <c r="M333" s="96">
        <f t="shared" si="116"/>
        <v>0</v>
      </c>
      <c r="N333" s="98">
        <v>0</v>
      </c>
      <c r="P333" s="98"/>
      <c r="Q333" s="98"/>
      <c r="R333" s="98"/>
      <c r="S333" s="132"/>
      <c r="T333" s="132"/>
      <c r="U333" s="97">
        <f t="shared" si="117"/>
        <v>0</v>
      </c>
    </row>
    <row r="334" spans="1:21" ht="12.75" x14ac:dyDescent="0.2">
      <c r="A334" s="91" t="s">
        <v>22</v>
      </c>
      <c r="B334" s="93"/>
      <c r="C334" s="93"/>
      <c r="D334" s="113">
        <f t="shared" si="113"/>
        <v>0</v>
      </c>
      <c r="E334" s="110">
        <f t="shared" si="118"/>
        <v>0</v>
      </c>
      <c r="F334" s="126">
        <v>1.0069999999999999</v>
      </c>
      <c r="G334" s="94">
        <f t="shared" si="111"/>
        <v>0</v>
      </c>
      <c r="H334" s="99">
        <f t="shared" si="112"/>
        <v>0</v>
      </c>
      <c r="I334" s="98">
        <f t="shared" si="114"/>
        <v>0</v>
      </c>
      <c r="K334" s="97">
        <f t="shared" si="115"/>
        <v>0</v>
      </c>
      <c r="L334" s="98">
        <v>0</v>
      </c>
      <c r="M334" s="96">
        <f t="shared" si="116"/>
        <v>0</v>
      </c>
      <c r="N334" s="98">
        <v>0</v>
      </c>
      <c r="P334" s="98"/>
      <c r="Q334" s="98"/>
      <c r="R334" s="98"/>
      <c r="S334" s="132"/>
      <c r="T334" s="132"/>
      <c r="U334" s="97">
        <f t="shared" si="117"/>
        <v>0</v>
      </c>
    </row>
    <row r="335" spans="1:21" ht="12.75" x14ac:dyDescent="0.2">
      <c r="A335" s="91" t="s">
        <v>23</v>
      </c>
      <c r="B335" s="93"/>
      <c r="C335" s="99"/>
      <c r="D335" s="113">
        <f t="shared" si="113"/>
        <v>0</v>
      </c>
      <c r="E335" s="110">
        <f t="shared" si="118"/>
        <v>0</v>
      </c>
      <c r="F335" s="126">
        <v>1.0029999999999999</v>
      </c>
      <c r="G335" s="94">
        <f t="shared" si="111"/>
        <v>0</v>
      </c>
      <c r="H335" s="99">
        <f t="shared" si="112"/>
        <v>0</v>
      </c>
      <c r="I335" s="98">
        <f t="shared" si="114"/>
        <v>0</v>
      </c>
      <c r="K335" s="97">
        <f t="shared" si="115"/>
        <v>0</v>
      </c>
      <c r="L335" s="98">
        <v>0</v>
      </c>
      <c r="M335" s="96">
        <f t="shared" si="116"/>
        <v>0</v>
      </c>
      <c r="N335" s="98">
        <v>0</v>
      </c>
      <c r="P335" s="98"/>
      <c r="Q335" s="98"/>
      <c r="R335" s="98"/>
      <c r="S335" s="132"/>
      <c r="T335" s="132"/>
      <c r="U335" s="97">
        <f t="shared" si="117"/>
        <v>0</v>
      </c>
    </row>
    <row r="336" spans="1:21" ht="12.75" x14ac:dyDescent="0.2">
      <c r="A336" s="91" t="s">
        <v>24</v>
      </c>
      <c r="B336" s="93"/>
      <c r="C336" s="93"/>
      <c r="D336" s="113">
        <f t="shared" si="113"/>
        <v>0</v>
      </c>
      <c r="E336" s="110">
        <f t="shared" si="118"/>
        <v>0</v>
      </c>
      <c r="F336" s="126">
        <v>1.0029999999999999</v>
      </c>
      <c r="G336" s="94">
        <f t="shared" si="111"/>
        <v>0</v>
      </c>
      <c r="H336" s="99">
        <f t="shared" si="112"/>
        <v>0</v>
      </c>
      <c r="I336" s="98">
        <f t="shared" si="114"/>
        <v>0</v>
      </c>
      <c r="K336" s="97">
        <f t="shared" si="115"/>
        <v>0</v>
      </c>
      <c r="L336" s="98">
        <v>0</v>
      </c>
      <c r="M336" s="96">
        <f t="shared" si="116"/>
        <v>0</v>
      </c>
      <c r="N336" s="98">
        <v>0</v>
      </c>
      <c r="P336" s="98"/>
      <c r="Q336" s="98"/>
      <c r="R336" s="98"/>
      <c r="S336" s="132"/>
      <c r="T336" s="132"/>
      <c r="U336" s="97">
        <f t="shared" si="117"/>
        <v>0</v>
      </c>
    </row>
    <row r="337" spans="1:21" ht="13.5" thickBot="1" x14ac:dyDescent="0.25">
      <c r="A337" s="100" t="s">
        <v>25</v>
      </c>
      <c r="B337" s="93"/>
      <c r="C337" s="93"/>
      <c r="D337" s="113">
        <f t="shared" si="113"/>
        <v>0</v>
      </c>
      <c r="E337" s="110">
        <f t="shared" si="118"/>
        <v>0</v>
      </c>
      <c r="F337" s="127">
        <v>1</v>
      </c>
      <c r="G337" s="94">
        <f t="shared" si="111"/>
        <v>0</v>
      </c>
      <c r="H337" s="99">
        <f t="shared" si="112"/>
        <v>0</v>
      </c>
      <c r="I337" s="98">
        <f t="shared" si="114"/>
        <v>0</v>
      </c>
      <c r="K337" s="97">
        <f t="shared" si="115"/>
        <v>0</v>
      </c>
      <c r="L337" s="101">
        <v>0</v>
      </c>
      <c r="M337" s="96">
        <f t="shared" si="116"/>
        <v>0</v>
      </c>
      <c r="N337" s="101">
        <v>0</v>
      </c>
      <c r="P337" s="101"/>
      <c r="Q337" s="101"/>
      <c r="R337" s="101"/>
      <c r="S337" s="133"/>
      <c r="T337" s="133"/>
      <c r="U337" s="97">
        <f t="shared" si="117"/>
        <v>0</v>
      </c>
    </row>
    <row r="338" spans="1:21" ht="12" thickBot="1" x14ac:dyDescent="0.25">
      <c r="A338" s="81" t="s">
        <v>26</v>
      </c>
      <c r="B338" s="102">
        <f>SUM(B326:B337)</f>
        <v>2646509</v>
      </c>
      <c r="C338" s="103">
        <f>SUM(C326:C337)</f>
        <v>465257.826</v>
      </c>
      <c r="D338" s="102">
        <f>SUM(D326:D337)</f>
        <v>2646.509</v>
      </c>
      <c r="E338" s="102">
        <f>SUM(E326:E337)</f>
        <v>2181251.1740000001</v>
      </c>
      <c r="F338" s="51"/>
      <c r="G338" s="102">
        <f>SUM(G326:G337)</f>
        <v>2685204.824</v>
      </c>
      <c r="H338" s="102">
        <f>SUM(H326:H337)</f>
        <v>2213144.251588</v>
      </c>
      <c r="I338" s="105">
        <f>SUM(I326:I337)</f>
        <v>175891.50899999999</v>
      </c>
      <c r="K338" s="105">
        <f>SUM(K326:K337)</f>
        <v>641149.33499999996</v>
      </c>
      <c r="L338" s="105">
        <f>SUM(L326:L337)</f>
        <v>0</v>
      </c>
      <c r="M338" s="105">
        <f>SUM(M326:M337)</f>
        <v>0</v>
      </c>
      <c r="N338" s="105">
        <f>SUM(N326:N337)</f>
        <v>0</v>
      </c>
      <c r="P338" s="120">
        <f>SUM(P326:P337)</f>
        <v>45416</v>
      </c>
      <c r="Q338" s="120">
        <f>SUM(Q326:Q337)</f>
        <v>79396</v>
      </c>
      <c r="R338" s="120">
        <f>SUM(R326:R337)</f>
        <v>24614</v>
      </c>
      <c r="S338" s="120"/>
      <c r="T338" s="120">
        <f>SUM(T326:T337)</f>
        <v>23819</v>
      </c>
      <c r="U338" s="120">
        <f>SUM(U326:U337)</f>
        <v>2646.509</v>
      </c>
    </row>
  </sheetData>
  <mergeCells count="15">
    <mergeCell ref="P8:U8"/>
    <mergeCell ref="P264:U264"/>
    <mergeCell ref="P223:U223"/>
    <mergeCell ref="P243:U243"/>
    <mergeCell ref="P177:U177"/>
    <mergeCell ref="P203:U203"/>
    <mergeCell ref="P155:U155"/>
    <mergeCell ref="P135:U135"/>
    <mergeCell ref="P304:U304"/>
    <mergeCell ref="P324:U324"/>
    <mergeCell ref="P284:U284"/>
    <mergeCell ref="P30:U30"/>
    <mergeCell ref="P53:U53"/>
    <mergeCell ref="P110:U110"/>
    <mergeCell ref="P78:U78"/>
  </mergeCells>
  <pageMargins left="0.15748031496062992" right="0" top="0.23622047244094491" bottom="0.35433070866141736" header="0.19685039370078741" footer="0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IMPOSICIONES 2013</vt:lpstr>
      <vt:lpstr>SUELDOS 2016</vt:lpstr>
      <vt:lpstr>SUELDOS 2026</vt:lpstr>
    </vt:vector>
  </TitlesOfParts>
  <Company>Contador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Villareal</dc:creator>
  <cp:lastModifiedBy>Acer</cp:lastModifiedBy>
  <cp:lastPrinted>2026-09-24T18:35:42Z</cp:lastPrinted>
  <dcterms:created xsi:type="dcterms:W3CDTF">2013-03-26T14:21:55Z</dcterms:created>
  <dcterms:modified xsi:type="dcterms:W3CDTF">2026-09-26T22:35:53Z</dcterms:modified>
</cp:coreProperties>
</file>