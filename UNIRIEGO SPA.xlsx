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testing\declaracion de sueldos\Nueva carpeta\"/>
    </mc:Choice>
  </mc:AlternateContent>
  <bookViews>
    <workbookView xWindow="0" yWindow="0" windowWidth="15345" windowHeight="4575"/>
  </bookViews>
  <sheets>
    <sheet name="SUELDOS 2026" sheetId="12" r:id="rId1"/>
  </sheets>
  <calcPr calcId="162913"/>
</workbook>
</file>

<file path=xl/calcChain.xml><?xml version="1.0" encoding="utf-8"?>
<calcChain xmlns="http://schemas.openxmlformats.org/spreadsheetml/2006/main">
  <c r="N16" i="12" l="1"/>
  <c r="O16" i="12"/>
  <c r="N17" i="12"/>
  <c r="O17" i="12"/>
  <c r="N18" i="12"/>
  <c r="O18" i="12"/>
  <c r="N19" i="12"/>
  <c r="O19" i="12"/>
  <c r="N9" i="12"/>
  <c r="O9" i="12"/>
  <c r="N10" i="12"/>
  <c r="O10" i="12"/>
  <c r="N11" i="12"/>
  <c r="O11" i="12"/>
  <c r="N12" i="12"/>
  <c r="O12" i="12"/>
  <c r="N13" i="12"/>
  <c r="O13" i="12"/>
  <c r="N14" i="12"/>
  <c r="O14" i="12"/>
  <c r="N15" i="12"/>
  <c r="O15" i="12"/>
  <c r="O8" i="12"/>
  <c r="O20" i="12"/>
  <c r="C56" i="12"/>
  <c r="C35" i="12"/>
  <c r="C78" i="12"/>
  <c r="C55" i="12"/>
  <c r="C34" i="12"/>
  <c r="C77" i="12"/>
  <c r="C33" i="12"/>
  <c r="C54" i="12"/>
  <c r="C76" i="12"/>
  <c r="P83" i="12"/>
  <c r="N83" i="12"/>
  <c r="M83" i="12"/>
  <c r="L83" i="12"/>
  <c r="B83" i="12"/>
  <c r="G82" i="12"/>
  <c r="E82" i="12"/>
  <c r="H82" i="12"/>
  <c r="D82" i="12"/>
  <c r="Q82" i="12"/>
  <c r="I82" i="12"/>
  <c r="J82" i="12"/>
  <c r="G81" i="12"/>
  <c r="E81" i="12"/>
  <c r="H81" i="12"/>
  <c r="D81" i="12"/>
  <c r="Q81" i="12"/>
  <c r="I81" i="12"/>
  <c r="J81" i="12"/>
  <c r="G80" i="12"/>
  <c r="E80" i="12"/>
  <c r="H80" i="12"/>
  <c r="D80" i="12"/>
  <c r="Q80" i="12"/>
  <c r="I80" i="12"/>
  <c r="J80" i="12"/>
  <c r="G79" i="12"/>
  <c r="E79" i="12"/>
  <c r="H79" i="12"/>
  <c r="D79" i="12"/>
  <c r="Q79" i="12"/>
  <c r="I79" i="12"/>
  <c r="J79" i="12"/>
  <c r="G78" i="12"/>
  <c r="E78" i="12"/>
  <c r="H78" i="12"/>
  <c r="H83" i="12"/>
  <c r="D78" i="12"/>
  <c r="Q78" i="12"/>
  <c r="G77" i="12"/>
  <c r="E77" i="12"/>
  <c r="H77" i="12"/>
  <c r="D77" i="12"/>
  <c r="Q77" i="12"/>
  <c r="G76" i="12"/>
  <c r="E76" i="12"/>
  <c r="H76" i="12"/>
  <c r="D76" i="12"/>
  <c r="Q76" i="12"/>
  <c r="I76" i="12"/>
  <c r="J76" i="12"/>
  <c r="G75" i="12"/>
  <c r="D75" i="12"/>
  <c r="Q75" i="12"/>
  <c r="I75" i="12"/>
  <c r="J75" i="12"/>
  <c r="G74" i="12"/>
  <c r="D74" i="12"/>
  <c r="Q74" i="12"/>
  <c r="I74" i="12"/>
  <c r="G73" i="12"/>
  <c r="D73" i="12"/>
  <c r="Q73" i="12"/>
  <c r="I73" i="12"/>
  <c r="J73" i="12"/>
  <c r="G72" i="12"/>
  <c r="D72" i="12"/>
  <c r="C83" i="12"/>
  <c r="Q71" i="12"/>
  <c r="J71" i="12"/>
  <c r="I71" i="12"/>
  <c r="G71" i="12"/>
  <c r="E71" i="12"/>
  <c r="Q9" i="12"/>
  <c r="Q10" i="12"/>
  <c r="Q11" i="12"/>
  <c r="Q12" i="12"/>
  <c r="Q16" i="12"/>
  <c r="Q17" i="12"/>
  <c r="Q18" i="12"/>
  <c r="Q19" i="12"/>
  <c r="P9" i="12"/>
  <c r="P10" i="12"/>
  <c r="P11" i="12"/>
  <c r="P12" i="12"/>
  <c r="P13" i="12"/>
  <c r="P14" i="12"/>
  <c r="P15" i="12"/>
  <c r="P16" i="12"/>
  <c r="P17" i="12"/>
  <c r="P18" i="12"/>
  <c r="P19" i="12"/>
  <c r="M9" i="12"/>
  <c r="M10" i="12"/>
  <c r="M11" i="12"/>
  <c r="M12" i="12"/>
  <c r="M13" i="12"/>
  <c r="M14" i="12"/>
  <c r="M15" i="12"/>
  <c r="M16" i="12"/>
  <c r="M17" i="12"/>
  <c r="M18" i="12"/>
  <c r="M19" i="12"/>
  <c r="L9" i="12"/>
  <c r="L10" i="12"/>
  <c r="L11" i="12"/>
  <c r="L12" i="12"/>
  <c r="L13" i="12"/>
  <c r="L14" i="12"/>
  <c r="L15" i="12"/>
  <c r="L16" i="12"/>
  <c r="L17" i="12"/>
  <c r="L18" i="12"/>
  <c r="L19" i="12"/>
  <c r="M8" i="12"/>
  <c r="N8" i="12"/>
  <c r="P8" i="12"/>
  <c r="Q8" i="12"/>
  <c r="L8" i="12"/>
  <c r="I50" i="12"/>
  <c r="I51" i="12"/>
  <c r="I52" i="12"/>
  <c r="I53" i="12"/>
  <c r="I57" i="12"/>
  <c r="I58" i="12"/>
  <c r="I59" i="12"/>
  <c r="I60" i="12"/>
  <c r="I49" i="12"/>
  <c r="I29" i="12"/>
  <c r="I30" i="12"/>
  <c r="J30" i="12"/>
  <c r="I31" i="12"/>
  <c r="I32" i="12"/>
  <c r="I12" i="12"/>
  <c r="I33" i="12"/>
  <c r="I36" i="12"/>
  <c r="J36" i="12"/>
  <c r="I37" i="12"/>
  <c r="I38" i="12"/>
  <c r="I39" i="12"/>
  <c r="I28" i="12"/>
  <c r="I9" i="12"/>
  <c r="C52" i="12"/>
  <c r="E52" i="12"/>
  <c r="J39" i="12"/>
  <c r="D51" i="12"/>
  <c r="C51" i="12"/>
  <c r="D52" i="12"/>
  <c r="Q52" i="12"/>
  <c r="I11" i="12"/>
  <c r="D53" i="12"/>
  <c r="C53" i="12"/>
  <c r="D12" i="12"/>
  <c r="D54" i="12"/>
  <c r="Q54" i="12"/>
  <c r="I54" i="12"/>
  <c r="D55" i="12"/>
  <c r="D56" i="12"/>
  <c r="Q56" i="12"/>
  <c r="I56" i="12"/>
  <c r="D57" i="12"/>
  <c r="D16" i="12"/>
  <c r="D58" i="12"/>
  <c r="Q58" i="12"/>
  <c r="J58" i="12"/>
  <c r="D59" i="12"/>
  <c r="D61" i="12"/>
  <c r="D60" i="12"/>
  <c r="Q60" i="12"/>
  <c r="D30" i="12"/>
  <c r="C30" i="12"/>
  <c r="E30" i="12"/>
  <c r="D31" i="12"/>
  <c r="C31" i="12"/>
  <c r="D32" i="12"/>
  <c r="D33" i="12"/>
  <c r="D34" i="12"/>
  <c r="Q34" i="12"/>
  <c r="D35" i="12"/>
  <c r="D15" i="12"/>
  <c r="D36" i="12"/>
  <c r="Q36" i="12"/>
  <c r="D37" i="12"/>
  <c r="D38" i="12"/>
  <c r="D39" i="12"/>
  <c r="Q39" i="12"/>
  <c r="Q59" i="12"/>
  <c r="Q57" i="12"/>
  <c r="I16" i="12"/>
  <c r="Q55" i="12"/>
  <c r="Q53" i="12"/>
  <c r="J53" i="12"/>
  <c r="Q49" i="12"/>
  <c r="J49" i="12"/>
  <c r="Q31" i="12"/>
  <c r="Q33" i="12"/>
  <c r="Q35" i="12"/>
  <c r="Q15" i="12"/>
  <c r="Q37" i="12"/>
  <c r="D50" i="12"/>
  <c r="C50" i="12"/>
  <c r="E50" i="12"/>
  <c r="C8" i="12"/>
  <c r="I8" i="12"/>
  <c r="P61" i="12"/>
  <c r="N61" i="12"/>
  <c r="M61" i="12"/>
  <c r="L61" i="12"/>
  <c r="P40" i="12"/>
  <c r="P20" i="12"/>
  <c r="N40" i="12"/>
  <c r="M40" i="12"/>
  <c r="M20" i="12"/>
  <c r="L40" i="12"/>
  <c r="C13" i="12"/>
  <c r="C14" i="12"/>
  <c r="C15" i="12"/>
  <c r="C16" i="12"/>
  <c r="C17" i="12"/>
  <c r="C18" i="12"/>
  <c r="C19" i="12"/>
  <c r="E37" i="12"/>
  <c r="H37" i="12"/>
  <c r="H17" i="12"/>
  <c r="E35" i="12"/>
  <c r="H35" i="12"/>
  <c r="D29" i="12"/>
  <c r="C29" i="12"/>
  <c r="D28" i="12"/>
  <c r="C28" i="12"/>
  <c r="E28" i="12"/>
  <c r="E8" i="12"/>
  <c r="Q28" i="12"/>
  <c r="D8" i="12"/>
  <c r="B9" i="12"/>
  <c r="B10" i="12"/>
  <c r="B11" i="12"/>
  <c r="B12" i="12"/>
  <c r="B13" i="12"/>
  <c r="B14" i="12"/>
  <c r="B15" i="12"/>
  <c r="B16" i="12"/>
  <c r="B17" i="12"/>
  <c r="B18" i="12"/>
  <c r="B19" i="12"/>
  <c r="B8" i="12"/>
  <c r="E34" i="12"/>
  <c r="H34" i="12"/>
  <c r="B61" i="12"/>
  <c r="G60" i="12"/>
  <c r="E60" i="12"/>
  <c r="H60" i="12"/>
  <c r="G59" i="12"/>
  <c r="G18" i="12"/>
  <c r="E59" i="12"/>
  <c r="H59" i="12"/>
  <c r="G58" i="12"/>
  <c r="E58" i="12"/>
  <c r="H58" i="12"/>
  <c r="G57" i="12"/>
  <c r="G16" i="12"/>
  <c r="G56" i="12"/>
  <c r="G15" i="12"/>
  <c r="E56" i="12"/>
  <c r="H56" i="12"/>
  <c r="H61" i="12"/>
  <c r="G55" i="12"/>
  <c r="E55" i="12"/>
  <c r="H55" i="12"/>
  <c r="G54" i="12"/>
  <c r="E54" i="12"/>
  <c r="H54" i="12"/>
  <c r="G53" i="12"/>
  <c r="G52" i="12"/>
  <c r="H52" i="12"/>
  <c r="G51" i="12"/>
  <c r="G50" i="12"/>
  <c r="G49" i="12"/>
  <c r="E49" i="12"/>
  <c r="E38" i="12"/>
  <c r="E39" i="12"/>
  <c r="E19" i="12"/>
  <c r="B40" i="12"/>
  <c r="B20" i="12"/>
  <c r="G39" i="12"/>
  <c r="G19" i="12"/>
  <c r="G38" i="12"/>
  <c r="G37" i="12"/>
  <c r="G17" i="12"/>
  <c r="G36" i="12"/>
  <c r="G35" i="12"/>
  <c r="G34" i="12"/>
  <c r="G33" i="12"/>
  <c r="G32" i="12"/>
  <c r="G12" i="12"/>
  <c r="G31" i="12"/>
  <c r="G30" i="12"/>
  <c r="G10" i="12"/>
  <c r="G29" i="12"/>
  <c r="G9" i="12"/>
  <c r="G28" i="12"/>
  <c r="G8" i="12"/>
  <c r="H39" i="12"/>
  <c r="H19" i="12"/>
  <c r="H38" i="12"/>
  <c r="E53" i="12"/>
  <c r="H53" i="12"/>
  <c r="H49" i="12"/>
  <c r="J33" i="12"/>
  <c r="J38" i="12"/>
  <c r="E33" i="12"/>
  <c r="H33" i="12"/>
  <c r="E36" i="12"/>
  <c r="E57" i="12"/>
  <c r="H57" i="12"/>
  <c r="G11" i="12"/>
  <c r="J29" i="12"/>
  <c r="Q29" i="12"/>
  <c r="Q50" i="12"/>
  <c r="D19" i="12"/>
  <c r="J28" i="12"/>
  <c r="D17" i="12"/>
  <c r="D9" i="12"/>
  <c r="D13" i="12"/>
  <c r="D11" i="12"/>
  <c r="Q30" i="12"/>
  <c r="H30" i="12"/>
  <c r="H28" i="12"/>
  <c r="H8" i="12"/>
  <c r="H50" i="12"/>
  <c r="J59" i="12"/>
  <c r="E18" i="12"/>
  <c r="I18" i="12"/>
  <c r="E51" i="12"/>
  <c r="C10" i="12"/>
  <c r="C61" i="12"/>
  <c r="J60" i="12"/>
  <c r="J19" i="12"/>
  <c r="I19" i="12"/>
  <c r="C11" i="12"/>
  <c r="E31" i="12"/>
  <c r="J37" i="12"/>
  <c r="J17" i="12"/>
  <c r="I17" i="12"/>
  <c r="J8" i="12"/>
  <c r="J50" i="12"/>
  <c r="G40" i="12"/>
  <c r="E16" i="12"/>
  <c r="H36" i="12"/>
  <c r="H16" i="12"/>
  <c r="J18" i="12"/>
  <c r="J52" i="12"/>
  <c r="E17" i="12"/>
  <c r="H18" i="12"/>
  <c r="J31" i="12"/>
  <c r="J11" i="12"/>
  <c r="C9" i="12"/>
  <c r="E29" i="12"/>
  <c r="D10" i="12"/>
  <c r="Q51" i="12"/>
  <c r="Q38" i="12"/>
  <c r="D18" i="12"/>
  <c r="Q32" i="12"/>
  <c r="D40" i="12"/>
  <c r="E10" i="12"/>
  <c r="J57" i="12"/>
  <c r="J16" i="12"/>
  <c r="C32" i="12"/>
  <c r="J32" i="12"/>
  <c r="J12" i="12"/>
  <c r="C12" i="12"/>
  <c r="E32" i="12"/>
  <c r="C40" i="12"/>
  <c r="C20" i="12"/>
  <c r="H29" i="12"/>
  <c r="E9" i="12"/>
  <c r="J9" i="12"/>
  <c r="H31" i="12"/>
  <c r="H11" i="12"/>
  <c r="E11" i="12"/>
  <c r="H51" i="12"/>
  <c r="H9" i="12"/>
  <c r="J51" i="12"/>
  <c r="I10" i="12"/>
  <c r="H10" i="12"/>
  <c r="H32" i="12"/>
  <c r="H12" i="12"/>
  <c r="E12" i="12"/>
  <c r="J10" i="12"/>
  <c r="N20" i="12"/>
  <c r="E13" i="12"/>
  <c r="G13" i="12"/>
  <c r="H13" i="12"/>
  <c r="J54" i="12"/>
  <c r="I13" i="12"/>
  <c r="Q13" i="12"/>
  <c r="G83" i="12"/>
  <c r="J74" i="12"/>
  <c r="H71" i="12"/>
  <c r="E72" i="12"/>
  <c r="H72" i="12"/>
  <c r="E73" i="12"/>
  <c r="H73" i="12"/>
  <c r="E74" i="12"/>
  <c r="H74" i="12"/>
  <c r="E75" i="12"/>
  <c r="H75" i="12"/>
  <c r="Q72" i="12"/>
  <c r="I72" i="12"/>
  <c r="J13" i="12"/>
  <c r="J72" i="12"/>
  <c r="I34" i="12"/>
  <c r="G14" i="12"/>
  <c r="D20" i="12"/>
  <c r="E40" i="12"/>
  <c r="D14" i="12"/>
  <c r="Q14" i="12"/>
  <c r="H14" i="12"/>
  <c r="E61" i="12"/>
  <c r="E14" i="12"/>
  <c r="I55" i="12"/>
  <c r="I77" i="12"/>
  <c r="J34" i="12"/>
  <c r="I14" i="12"/>
  <c r="J55" i="12"/>
  <c r="J77" i="12"/>
  <c r="J14" i="12"/>
  <c r="E83" i="12"/>
  <c r="I78" i="12"/>
  <c r="Q83" i="12"/>
  <c r="D83" i="12"/>
  <c r="J78" i="12"/>
  <c r="J83" i="12"/>
  <c r="I83" i="12"/>
  <c r="L20" i="12"/>
  <c r="J56" i="12"/>
  <c r="J61" i="12"/>
  <c r="I61" i="12"/>
  <c r="E20" i="12"/>
  <c r="G61" i="12"/>
  <c r="G20" i="12"/>
  <c r="Q61" i="12"/>
  <c r="H15" i="12"/>
  <c r="H40" i="12"/>
  <c r="H20" i="12"/>
  <c r="I35" i="12"/>
  <c r="Q40" i="12"/>
  <c r="Q20" i="12"/>
  <c r="E15" i="12"/>
  <c r="J35" i="12"/>
  <c r="I40" i="12"/>
  <c r="I20" i="12"/>
  <c r="I15" i="12"/>
  <c r="J40" i="12"/>
  <c r="J20" i="12"/>
  <c r="J15" i="12"/>
</calcChain>
</file>

<file path=xl/sharedStrings.xml><?xml version="1.0" encoding="utf-8"?>
<sst xmlns="http://schemas.openxmlformats.org/spreadsheetml/2006/main" count="175" uniqueCount="55">
  <si>
    <t>NOMBRE EMPLEADOR</t>
  </si>
  <si>
    <t>RUT</t>
  </si>
  <si>
    <t>DIRECCION</t>
  </si>
  <si>
    <t>PERÍODO</t>
  </si>
  <si>
    <t>SUELDO</t>
  </si>
  <si>
    <t>COTIZACION</t>
  </si>
  <si>
    <t xml:space="preserve">RENTA NETA </t>
  </si>
  <si>
    <t xml:space="preserve">FACTOR </t>
  </si>
  <si>
    <t>MONTOS ACTUALIZADOS</t>
  </si>
  <si>
    <t>BRUTO</t>
  </si>
  <si>
    <t>PREVISIONAL</t>
  </si>
  <si>
    <t>ACTUALIZAC.</t>
  </si>
  <si>
    <t xml:space="preserve">ENERO </t>
  </si>
  <si>
    <t xml:space="preserve">FEBRERO 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</si>
  <si>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</si>
  <si>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</si>
  <si>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</si>
  <si>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</si>
  <si>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</si>
  <si>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</si>
  <si>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</si>
  <si>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</si>
  <si>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</si>
  <si>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</si>
  <si>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</si>
  <si>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NOMBRE</t>
  </si>
  <si>
    <t>RESUMEN DECLARACION JURADA Nº 1887</t>
  </si>
  <si>
    <t xml:space="preserve">MONTOS </t>
  </si>
  <si>
    <t>PATRONALES</t>
  </si>
  <si>
    <t>MONTOS</t>
  </si>
  <si>
    <t>IMP.PAGADAS</t>
  </si>
  <si>
    <t>SIN ACTUALIZAR</t>
  </si>
  <si>
    <t>PAGADA</t>
  </si>
  <si>
    <t>SUELDO BRUTO</t>
  </si>
  <si>
    <t>ACTURALIZADO</t>
  </si>
  <si>
    <t>RENTA NETA PAGADA</t>
  </si>
  <si>
    <t>UNIRIEGO SpA</t>
  </si>
  <si>
    <t>78.119.044-6</t>
  </si>
  <si>
    <t>SAN ANTONIO E. PARCELA 6 LOTE 10</t>
  </si>
  <si>
    <t>PALACIOS MORALES RUBEN ANDRES</t>
  </si>
  <si>
    <t>15.569.332-0</t>
  </si>
  <si>
    <t>SEGURO</t>
  </si>
  <si>
    <t>SOCIAL (0,1%)</t>
  </si>
  <si>
    <t xml:space="preserve">SEGURO </t>
  </si>
  <si>
    <t xml:space="preserve"> APORTES PATRONALES </t>
  </si>
  <si>
    <t xml:space="preserve"> SIS </t>
  </si>
  <si>
    <t>AFC</t>
  </si>
  <si>
    <t>ISL</t>
  </si>
  <si>
    <t>S. SOCIAL</t>
  </si>
  <si>
    <t>VILLALOBOS MORALES JORGE ARMANDO</t>
  </si>
  <si>
    <t>S. SOCIAL (0,1 %)</t>
  </si>
  <si>
    <t xml:space="preserve">PALACIOS NORAMBUENA YESLY ALEJANDRA </t>
  </si>
  <si>
    <t>21.072.256-4</t>
  </si>
  <si>
    <t>16.242.492-0</t>
  </si>
  <si>
    <t>RENT. 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</si>
</sst>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9" formatCode="_-* #,##0.00_-;\-* #,##0.00_-;_-* &quot;-&quot;??_-;_-@_-"/>
    <numFmt numFmtId="180" formatCode="_(* #,##0.00_);_(* \(#,##0.00\);_(* &quot;-&quot;??_);_(@_)"/>
    <numFmt numFmtId="181" formatCode="_(* #,##0_);_(* \(#,##0\);_(* &quot;-&quot;??_);_(@_)"/>
    <numFmt numFmtId="184" formatCode="_-* #,##0_-;\-* #,##0_-;_-* &quot;-&quot;??_-;_-@_-"/>
    <numFmt numFmtId="185" formatCode="0.00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181" fontId="3" fillId="0" borderId="0" xfId="2" applyNumberFormat="1" applyFont="1"/>
    <xf numFmtId="0" fontId="2" fillId="0" borderId="1" xfId="0" applyFont="1" applyBorder="1"/>
    <xf numFmtId="0" fontId="2" fillId="0" borderId="2" xfId="0" applyFont="1" applyBorder="1"/>
    <xf numFmtId="181" fontId="2" fillId="0" borderId="0" xfId="2" applyNumberFormat="1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181" fontId="3" fillId="0" borderId="0" xfId="2" applyNumberFormat="1" applyFont="1" applyBorder="1"/>
    <xf numFmtId="0" fontId="3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2" fillId="0" borderId="8" xfId="0" applyFont="1" applyBorder="1"/>
    <xf numFmtId="181" fontId="2" fillId="0" borderId="9" xfId="2" applyNumberFormat="1" applyFont="1" applyBorder="1"/>
    <xf numFmtId="0" fontId="2" fillId="0" borderId="4" xfId="0" applyFont="1" applyFill="1" applyBorder="1"/>
    <xf numFmtId="181" fontId="2" fillId="0" borderId="5" xfId="2" applyNumberFormat="1" applyFont="1" applyBorder="1"/>
    <xf numFmtId="181" fontId="2" fillId="0" borderId="10" xfId="2" applyNumberFormat="1" applyFont="1" applyBorder="1"/>
    <xf numFmtId="181" fontId="3" fillId="0" borderId="6" xfId="2" applyNumberFormat="1" applyFont="1" applyBorder="1"/>
    <xf numFmtId="181" fontId="2" fillId="0" borderId="9" xfId="2" applyNumberFormat="1" applyFont="1" applyBorder="1" applyAlignment="1"/>
    <xf numFmtId="0" fontId="5" fillId="0" borderId="1" xfId="0" applyFont="1" applyBorder="1" applyAlignment="1">
      <alignment horizontal="center"/>
    </xf>
    <xf numFmtId="181" fontId="5" fillId="0" borderId="11" xfId="2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81" fontId="5" fillId="0" borderId="12" xfId="2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81" fontId="5" fillId="0" borderId="2" xfId="2" applyNumberFormat="1" applyFont="1" applyBorder="1" applyAlignment="1">
      <alignment horizontal="center"/>
    </xf>
    <xf numFmtId="181" fontId="5" fillId="0" borderId="5" xfId="2" applyNumberFormat="1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181" fontId="3" fillId="0" borderId="15" xfId="2" applyNumberFormat="1" applyFont="1" applyBorder="1" applyAlignment="1"/>
    <xf numFmtId="181" fontId="2" fillId="0" borderId="16" xfId="2" applyNumberFormat="1" applyFont="1" applyBorder="1"/>
    <xf numFmtId="181" fontId="2" fillId="0" borderId="17" xfId="2" applyNumberFormat="1" applyFont="1" applyBorder="1"/>
    <xf numFmtId="181" fontId="2" fillId="0" borderId="0" xfId="2" applyNumberFormat="1" applyFont="1" applyBorder="1" applyAlignment="1"/>
    <xf numFmtId="181" fontId="3" fillId="0" borderId="18" xfId="2" applyNumberFormat="1" applyFont="1" applyBorder="1"/>
    <xf numFmtId="181" fontId="3" fillId="0" borderId="19" xfId="2" applyNumberFormat="1" applyFont="1" applyFill="1" applyBorder="1"/>
    <xf numFmtId="181" fontId="3" fillId="0" borderId="13" xfId="2" applyNumberFormat="1" applyFont="1" applyFill="1" applyBorder="1"/>
    <xf numFmtId="181" fontId="3" fillId="0" borderId="20" xfId="2" applyNumberFormat="1" applyFont="1" applyBorder="1" applyAlignment="1"/>
    <xf numFmtId="181" fontId="5" fillId="0" borderId="11" xfId="2" applyNumberFormat="1" applyFont="1" applyFill="1" applyBorder="1" applyAlignment="1">
      <alignment horizontal="center"/>
    </xf>
    <xf numFmtId="181" fontId="5" fillId="0" borderId="12" xfId="2" applyNumberFormat="1" applyFont="1" applyFill="1" applyBorder="1" applyAlignment="1">
      <alignment horizontal="center"/>
    </xf>
    <xf numFmtId="184" fontId="0" fillId="0" borderId="19" xfId="1" applyNumberFormat="1" applyFont="1" applyBorder="1"/>
    <xf numFmtId="181" fontId="0" fillId="0" borderId="18" xfId="0" applyNumberFormat="1" applyBorder="1"/>
    <xf numFmtId="181" fontId="0" fillId="0" borderId="21" xfId="0" applyNumberFormat="1" applyBorder="1"/>
    <xf numFmtId="0" fontId="5" fillId="0" borderId="3" xfId="0" applyFont="1" applyBorder="1" applyAlignment="1">
      <alignment horizontal="center"/>
    </xf>
    <xf numFmtId="181" fontId="3" fillId="0" borderId="0" xfId="2" applyNumberFormat="1" applyFont="1" applyBorder="1" applyAlignment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81" fontId="2" fillId="0" borderId="9" xfId="2" applyNumberFormat="1" applyFont="1" applyBorder="1" applyAlignment="1">
      <alignment horizontal="center"/>
    </xf>
    <xf numFmtId="181" fontId="2" fillId="0" borderId="0" xfId="2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181" fontId="2" fillId="0" borderId="10" xfId="2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85" fontId="7" fillId="0" borderId="6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84" fontId="6" fillId="0" borderId="18" xfId="1" applyNumberFormat="1" applyFont="1" applyBorder="1"/>
    <xf numFmtId="184" fontId="6" fillId="0" borderId="6" xfId="1" applyNumberFormat="1" applyFont="1" applyBorder="1"/>
    <xf numFmtId="184" fontId="6" fillId="0" borderId="7" xfId="1" applyNumberFormat="1" applyFont="1" applyBorder="1"/>
    <xf numFmtId="3" fontId="5" fillId="0" borderId="22" xfId="0" applyNumberFormat="1" applyFont="1" applyBorder="1"/>
    <xf numFmtId="181" fontId="5" fillId="0" borderId="9" xfId="2" applyNumberFormat="1" applyFont="1" applyBorder="1" applyAlignment="1">
      <alignment horizontal="center"/>
    </xf>
    <xf numFmtId="181" fontId="6" fillId="0" borderId="6" xfId="2" applyNumberFormat="1" applyFont="1" applyBorder="1"/>
    <xf numFmtId="181" fontId="5" fillId="0" borderId="9" xfId="2" applyNumberFormat="1" applyFont="1" applyBorder="1"/>
    <xf numFmtId="184" fontId="6" fillId="0" borderId="21" xfId="1" applyNumberFormat="1" applyFont="1" applyBorder="1"/>
    <xf numFmtId="184" fontId="5" fillId="0" borderId="22" xfId="1" applyNumberFormat="1" applyFont="1" applyBorder="1"/>
    <xf numFmtId="184" fontId="5" fillId="0" borderId="23" xfId="1" applyNumberFormat="1" applyFont="1" applyBorder="1"/>
    <xf numFmtId="184" fontId="5" fillId="0" borderId="24" xfId="1" applyNumberFormat="1" applyFont="1" applyBorder="1"/>
    <xf numFmtId="0" fontId="5" fillId="0" borderId="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</cellXfs>
  <cellStyles count="3">
    <cellStyle name="Millares" xfId="1" builtinId="3"/>
    <cellStyle name="Millares_Hoja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workbookViewId="0">
      <selection activeCell="O70" sqref="O70"/>
    </sheetView>
  </sheetViews>
  <sheetFormatPr baseColWidth="10" defaultRowHeight="12.75" x14ac:dyDescent="0.2"/>
  <cols>
    <col min="1" max="1" width="11.42578125" customWidth="1"/>
    <col min="2" max="2" width="11.85546875" customWidth="1"/>
    <col min="3" max="3" width="11.42578125" customWidth="1"/>
    <col min="4" max="4" width="7.85546875" customWidth="1"/>
    <col min="5" max="5" width="11.7109375" customWidth="1"/>
    <col min="6" max="6" width="10.7109375" style="52" customWidth="1"/>
    <col min="7" max="7" width="13.140625" customWidth="1"/>
    <col min="8" max="8" width="19.85546875" customWidth="1"/>
    <col min="9" max="9" width="12.140625" customWidth="1"/>
    <col min="10" max="10" width="14.140625" customWidth="1"/>
    <col min="11" max="12" width="8" customWidth="1"/>
    <col min="13" max="13" width="9.140625" customWidth="1"/>
    <col min="14" max="15" width="8.85546875" customWidth="1"/>
    <col min="16" max="16" width="9.42578125" customWidth="1"/>
  </cols>
  <sheetData>
    <row r="1" spans="1:17" ht="13.5" thickBot="1" x14ac:dyDescent="0.25">
      <c r="A1" s="1" t="s">
        <v>26</v>
      </c>
      <c r="B1" s="2"/>
      <c r="C1" s="2"/>
      <c r="D1" s="2"/>
      <c r="E1" s="2"/>
      <c r="G1" s="3"/>
      <c r="H1" s="2"/>
    </row>
    <row r="2" spans="1:17" x14ac:dyDescent="0.2">
      <c r="A2" s="4" t="s">
        <v>0</v>
      </c>
      <c r="B2" s="5"/>
      <c r="C2" s="5" t="s">
        <v>36</v>
      </c>
      <c r="D2" s="5"/>
      <c r="E2" s="5"/>
      <c r="F2" s="47"/>
      <c r="G2" s="33"/>
      <c r="H2" s="2"/>
    </row>
    <row r="3" spans="1:17" x14ac:dyDescent="0.2">
      <c r="A3" s="7" t="s">
        <v>1</v>
      </c>
      <c r="B3" s="8"/>
      <c r="C3" s="8" t="s">
        <v>37</v>
      </c>
      <c r="D3" s="8"/>
      <c r="E3" s="8"/>
      <c r="F3" s="48"/>
      <c r="G3" s="34"/>
      <c r="H3" s="2"/>
    </row>
    <row r="4" spans="1:17" ht="13.5" thickBot="1" x14ac:dyDescent="0.25">
      <c r="A4" s="9" t="s">
        <v>2</v>
      </c>
      <c r="B4" s="10"/>
      <c r="C4" s="10" t="s">
        <v>38</v>
      </c>
      <c r="D4" s="10"/>
      <c r="E4" s="10"/>
      <c r="F4" s="49"/>
      <c r="G4" s="19"/>
      <c r="H4" s="2"/>
    </row>
    <row r="5" spans="1:17" ht="13.5" thickBot="1" x14ac:dyDescent="0.25">
      <c r="A5" s="8"/>
      <c r="B5" s="8"/>
      <c r="C5" s="8"/>
      <c r="D5" s="8"/>
      <c r="E5" s="8"/>
      <c r="F5" s="48"/>
      <c r="G5" s="6"/>
      <c r="H5" s="2"/>
    </row>
    <row r="6" spans="1:17" ht="13.5" thickBot="1" x14ac:dyDescent="0.25">
      <c r="A6" s="22" t="s">
        <v>3</v>
      </c>
      <c r="B6" s="23" t="s">
        <v>4</v>
      </c>
      <c r="C6" s="28" t="s">
        <v>5</v>
      </c>
      <c r="D6" s="23" t="s">
        <v>43</v>
      </c>
      <c r="E6" s="23" t="s">
        <v>6</v>
      </c>
      <c r="F6" s="26" t="s">
        <v>7</v>
      </c>
      <c r="G6" s="23" t="s">
        <v>33</v>
      </c>
      <c r="H6" s="23" t="s">
        <v>8</v>
      </c>
      <c r="I6" s="26" t="s">
        <v>29</v>
      </c>
      <c r="J6" s="40" t="s">
        <v>30</v>
      </c>
      <c r="L6" s="72" t="s">
        <v>44</v>
      </c>
      <c r="M6" s="73"/>
      <c r="N6" s="73"/>
      <c r="O6" s="73"/>
      <c r="P6" s="73"/>
      <c r="Q6" s="74"/>
    </row>
    <row r="7" spans="1:17" ht="13.5" thickBot="1" x14ac:dyDescent="0.25">
      <c r="A7" s="24"/>
      <c r="B7" s="25" t="s">
        <v>9</v>
      </c>
      <c r="C7" s="29" t="s">
        <v>10</v>
      </c>
      <c r="D7" s="25" t="s">
        <v>42</v>
      </c>
      <c r="E7" s="25" t="s">
        <v>32</v>
      </c>
      <c r="F7" s="27" t="s">
        <v>11</v>
      </c>
      <c r="G7" s="25" t="s">
        <v>34</v>
      </c>
      <c r="H7" s="25" t="s">
        <v>35</v>
      </c>
      <c r="I7" s="27" t="s">
        <v>28</v>
      </c>
      <c r="J7" s="41" t="s">
        <v>31</v>
      </c>
      <c r="L7" s="58" t="s">
        <v>45</v>
      </c>
      <c r="M7" s="59" t="s">
        <v>46</v>
      </c>
      <c r="N7" s="59" t="s">
        <v>47</v>
      </c>
      <c r="O7" s="75" t="s">
        <v>54</v>
      </c>
      <c r="P7" s="60" t="s">
        <v>48</v>
      </c>
      <c r="Q7" s="65" t="s">
        <v>50</v>
      </c>
    </row>
    <row r="8" spans="1:17" x14ac:dyDescent="0.2">
      <c r="A8" s="30" t="s">
        <v>12</v>
      </c>
      <c r="B8" s="32">
        <f>B28+B49</f>
        <v>750000</v>
      </c>
      <c r="C8" s="32">
        <f>C28+C49</f>
        <v>142875</v>
      </c>
      <c r="D8" s="32">
        <f>D28+D49</f>
        <v>750</v>
      </c>
      <c r="E8" s="32">
        <f>E28+E49</f>
        <v>607125</v>
      </c>
      <c r="F8" s="55">
        <v>1.036</v>
      </c>
      <c r="G8" s="32">
        <f>G28+G49</f>
        <v>777000</v>
      </c>
      <c r="H8" s="32">
        <f>H28+H49</f>
        <v>628981.5</v>
      </c>
      <c r="I8" s="32">
        <f>I28+I49</f>
        <v>63150</v>
      </c>
      <c r="J8" s="32">
        <f>J28+J49</f>
        <v>206025</v>
      </c>
      <c r="L8" s="61">
        <f>L28+L49</f>
        <v>11550</v>
      </c>
      <c r="M8" s="61">
        <f>M28+M49</f>
        <v>18000</v>
      </c>
      <c r="N8" s="61">
        <f>N28+N49</f>
        <v>26100</v>
      </c>
      <c r="O8" s="61">
        <f>O28+O49</f>
        <v>0</v>
      </c>
      <c r="P8" s="61">
        <f>P28+P49</f>
        <v>6750</v>
      </c>
      <c r="Q8" s="61">
        <f>Q28+Q49</f>
        <v>750</v>
      </c>
    </row>
    <row r="9" spans="1:17" x14ac:dyDescent="0.2">
      <c r="A9" s="30" t="s">
        <v>13</v>
      </c>
      <c r="B9" s="32">
        <f t="shared" ref="B9:E20" si="0">B29+B50</f>
        <v>1423750</v>
      </c>
      <c r="C9" s="32">
        <f t="shared" si="0"/>
        <v>271225.25</v>
      </c>
      <c r="D9" s="32">
        <f t="shared" si="0"/>
        <v>1423.75</v>
      </c>
      <c r="E9" s="32">
        <f t="shared" si="0"/>
        <v>1152524.75</v>
      </c>
      <c r="F9" s="56">
        <v>1.026</v>
      </c>
      <c r="G9" s="32">
        <f t="shared" ref="G9:J20" si="1">G29+G50</f>
        <v>1460767.5</v>
      </c>
      <c r="H9" s="32">
        <f t="shared" si="1"/>
        <v>1182490.3935</v>
      </c>
      <c r="I9" s="32">
        <f t="shared" si="1"/>
        <v>119880.75</v>
      </c>
      <c r="J9" s="32">
        <f t="shared" si="1"/>
        <v>391106</v>
      </c>
      <c r="L9" s="61">
        <f t="shared" ref="L9:Q20" si="2">L29+L50</f>
        <v>21926</v>
      </c>
      <c r="M9" s="61">
        <f t="shared" si="2"/>
        <v>34170</v>
      </c>
      <c r="N9" s="61">
        <f t="shared" si="2"/>
        <v>49547</v>
      </c>
      <c r="O9" s="61">
        <f t="shared" si="2"/>
        <v>0</v>
      </c>
      <c r="P9" s="61">
        <f t="shared" si="2"/>
        <v>12814</v>
      </c>
      <c r="Q9" s="61">
        <f t="shared" si="2"/>
        <v>1423.75</v>
      </c>
    </row>
    <row r="10" spans="1:17" x14ac:dyDescent="0.2">
      <c r="A10" s="30" t="s">
        <v>14</v>
      </c>
      <c r="B10" s="32">
        <f t="shared" si="0"/>
        <v>1423750</v>
      </c>
      <c r="C10" s="32">
        <f t="shared" ref="C10:C20" si="3">C30+C51</f>
        <v>271225.25</v>
      </c>
      <c r="D10" s="32">
        <f t="shared" si="0"/>
        <v>1423.75</v>
      </c>
      <c r="E10" s="32">
        <f t="shared" si="0"/>
        <v>1152524.75</v>
      </c>
      <c r="F10" s="56">
        <v>1.022</v>
      </c>
      <c r="G10" s="32">
        <f t="shared" si="1"/>
        <v>1455072.5</v>
      </c>
      <c r="H10" s="32">
        <f t="shared" si="1"/>
        <v>1177880.2944999998</v>
      </c>
      <c r="I10" s="32">
        <f t="shared" si="1"/>
        <v>119880.75</v>
      </c>
      <c r="J10" s="32">
        <f t="shared" si="1"/>
        <v>391106</v>
      </c>
      <c r="L10" s="61">
        <f t="shared" si="2"/>
        <v>21926</v>
      </c>
      <c r="M10" s="61">
        <f t="shared" si="2"/>
        <v>34170</v>
      </c>
      <c r="N10" s="61">
        <f t="shared" si="2"/>
        <v>49547</v>
      </c>
      <c r="O10" s="61">
        <f t="shared" si="2"/>
        <v>0</v>
      </c>
      <c r="P10" s="61">
        <f t="shared" si="2"/>
        <v>12814</v>
      </c>
      <c r="Q10" s="61">
        <f t="shared" si="2"/>
        <v>1423.75</v>
      </c>
    </row>
    <row r="11" spans="1:17" x14ac:dyDescent="0.2">
      <c r="A11" s="30" t="s">
        <v>15</v>
      </c>
      <c r="B11" s="32">
        <f t="shared" si="0"/>
        <v>1423750</v>
      </c>
      <c r="C11" s="32">
        <f t="shared" si="3"/>
        <v>271225.25</v>
      </c>
      <c r="D11" s="32">
        <f t="shared" si="0"/>
        <v>1423.75</v>
      </c>
      <c r="E11" s="32">
        <f t="shared" si="0"/>
        <v>1152524.75</v>
      </c>
      <c r="F11" s="56">
        <v>1.016</v>
      </c>
      <c r="G11" s="32">
        <f t="shared" si="1"/>
        <v>1446530</v>
      </c>
      <c r="H11" s="32">
        <f t="shared" si="1"/>
        <v>1170965.1459999999</v>
      </c>
      <c r="I11" s="32">
        <f t="shared" si="1"/>
        <v>121019.75</v>
      </c>
      <c r="J11" s="32">
        <f t="shared" si="1"/>
        <v>392245</v>
      </c>
      <c r="L11" s="61">
        <f t="shared" si="2"/>
        <v>23065</v>
      </c>
      <c r="M11" s="61">
        <f t="shared" si="2"/>
        <v>34170</v>
      </c>
      <c r="N11" s="61">
        <f t="shared" si="2"/>
        <v>49547</v>
      </c>
      <c r="O11" s="61">
        <f t="shared" si="2"/>
        <v>0</v>
      </c>
      <c r="P11" s="61">
        <f t="shared" si="2"/>
        <v>12814</v>
      </c>
      <c r="Q11" s="61">
        <f t="shared" si="2"/>
        <v>1423.75</v>
      </c>
    </row>
    <row r="12" spans="1:17" x14ac:dyDescent="0.2">
      <c r="A12" s="30" t="s">
        <v>16</v>
      </c>
      <c r="B12" s="32">
        <f t="shared" si="0"/>
        <v>1423750</v>
      </c>
      <c r="C12" s="32">
        <f t="shared" si="3"/>
        <v>271225.25</v>
      </c>
      <c r="D12" s="32">
        <f t="shared" si="0"/>
        <v>1423.75</v>
      </c>
      <c r="E12" s="32">
        <f t="shared" si="0"/>
        <v>1152524.75</v>
      </c>
      <c r="F12" s="56">
        <v>1.014</v>
      </c>
      <c r="G12" s="32">
        <f t="shared" si="1"/>
        <v>1443682.5</v>
      </c>
      <c r="H12" s="32">
        <f t="shared" si="1"/>
        <v>1168660.0965</v>
      </c>
      <c r="I12" s="32">
        <f t="shared" si="1"/>
        <v>121019.75</v>
      </c>
      <c r="J12" s="32">
        <f t="shared" si="1"/>
        <v>392245</v>
      </c>
      <c r="L12" s="61">
        <f t="shared" si="2"/>
        <v>23065</v>
      </c>
      <c r="M12" s="61">
        <f t="shared" si="2"/>
        <v>34170</v>
      </c>
      <c r="N12" s="61">
        <f t="shared" si="2"/>
        <v>49547</v>
      </c>
      <c r="O12" s="61">
        <f t="shared" si="2"/>
        <v>0</v>
      </c>
      <c r="P12" s="61">
        <f t="shared" si="2"/>
        <v>12814</v>
      </c>
      <c r="Q12" s="61">
        <f t="shared" si="2"/>
        <v>1423.75</v>
      </c>
    </row>
    <row r="13" spans="1:17" x14ac:dyDescent="0.2">
      <c r="A13" s="30" t="s">
        <v>17</v>
      </c>
      <c r="B13" s="32">
        <f t="shared" si="0"/>
        <v>1460133</v>
      </c>
      <c r="C13" s="32">
        <f t="shared" si="3"/>
        <v>278154.86699999997</v>
      </c>
      <c r="D13" s="32">
        <f t="shared" si="0"/>
        <v>1460.133</v>
      </c>
      <c r="E13" s="32">
        <f t="shared" si="0"/>
        <v>1181978.1329999999</v>
      </c>
      <c r="F13" s="56">
        <v>1.012</v>
      </c>
      <c r="G13" s="32">
        <f t="shared" si="1"/>
        <v>1477654.5959999999</v>
      </c>
      <c r="H13" s="32">
        <f t="shared" si="1"/>
        <v>1196161.870596</v>
      </c>
      <c r="I13" s="32">
        <f t="shared" si="1"/>
        <v>124111.133</v>
      </c>
      <c r="J13" s="32">
        <f t="shared" si="1"/>
        <v>402266</v>
      </c>
      <c r="L13" s="61">
        <f t="shared" si="2"/>
        <v>23654</v>
      </c>
      <c r="M13" s="61">
        <f t="shared" si="2"/>
        <v>35043</v>
      </c>
      <c r="N13" s="61">
        <f t="shared" si="2"/>
        <v>50813</v>
      </c>
      <c r="O13" s="61">
        <f t="shared" si="2"/>
        <v>0</v>
      </c>
      <c r="P13" s="61">
        <f t="shared" si="2"/>
        <v>13141</v>
      </c>
      <c r="Q13" s="61">
        <f t="shared" si="2"/>
        <v>1460.133</v>
      </c>
    </row>
    <row r="14" spans="1:17" x14ac:dyDescent="0.2">
      <c r="A14" s="30" t="s">
        <v>18</v>
      </c>
      <c r="B14" s="32">
        <f t="shared" si="0"/>
        <v>1441941</v>
      </c>
      <c r="C14" s="32">
        <f t="shared" si="3"/>
        <v>274690.05900000001</v>
      </c>
      <c r="D14" s="32">
        <f t="shared" si="0"/>
        <v>1441.941</v>
      </c>
      <c r="E14" s="32">
        <f t="shared" si="0"/>
        <v>1167250.9410000001</v>
      </c>
      <c r="F14" s="56">
        <v>1.0169999999999999</v>
      </c>
      <c r="G14" s="32">
        <f t="shared" si="1"/>
        <v>1466453.997</v>
      </c>
      <c r="H14" s="32">
        <f t="shared" si="1"/>
        <v>1187094.2069969997</v>
      </c>
      <c r="I14" s="32">
        <f t="shared" si="1"/>
        <v>128044.94099999999</v>
      </c>
      <c r="J14" s="32">
        <f t="shared" si="1"/>
        <v>402735</v>
      </c>
      <c r="L14" s="61">
        <f t="shared" si="2"/>
        <v>28839</v>
      </c>
      <c r="M14" s="61">
        <f t="shared" si="2"/>
        <v>34607</v>
      </c>
      <c r="N14" s="61">
        <f t="shared" si="2"/>
        <v>50180</v>
      </c>
      <c r="O14" s="61">
        <f t="shared" si="2"/>
        <v>0</v>
      </c>
      <c r="P14" s="61">
        <f t="shared" si="2"/>
        <v>12977</v>
      </c>
      <c r="Q14" s="61">
        <f t="shared" si="2"/>
        <v>1441.941</v>
      </c>
    </row>
    <row r="15" spans="1:17" x14ac:dyDescent="0.2">
      <c r="A15" s="30" t="s">
        <v>19</v>
      </c>
      <c r="B15" s="32">
        <f t="shared" si="0"/>
        <v>1441941</v>
      </c>
      <c r="C15" s="32">
        <f t="shared" si="3"/>
        <v>274690.05900000001</v>
      </c>
      <c r="D15" s="32">
        <f t="shared" si="0"/>
        <v>1441.941</v>
      </c>
      <c r="E15" s="32">
        <f t="shared" si="0"/>
        <v>1167250.9410000001</v>
      </c>
      <c r="F15" s="56">
        <v>1.008</v>
      </c>
      <c r="G15" s="32">
        <f t="shared" si="1"/>
        <v>1453476.5279999999</v>
      </c>
      <c r="H15" s="32">
        <f t="shared" si="1"/>
        <v>1176588.9485280002</v>
      </c>
      <c r="I15" s="32">
        <f t="shared" si="1"/>
        <v>123522.94099999999</v>
      </c>
      <c r="J15" s="32">
        <f t="shared" si="1"/>
        <v>398213</v>
      </c>
      <c r="L15" s="61">
        <f t="shared" si="2"/>
        <v>25667</v>
      </c>
      <c r="M15" s="61">
        <f t="shared" si="2"/>
        <v>34607</v>
      </c>
      <c r="N15" s="61">
        <f t="shared" si="2"/>
        <v>50180</v>
      </c>
      <c r="O15" s="61">
        <f t="shared" si="2"/>
        <v>0</v>
      </c>
      <c r="P15" s="61">
        <f t="shared" si="2"/>
        <v>11627</v>
      </c>
      <c r="Q15" s="61">
        <f t="shared" si="2"/>
        <v>1441.941</v>
      </c>
    </row>
    <row r="16" spans="1:17" x14ac:dyDescent="0.2">
      <c r="A16" s="30" t="s">
        <v>20</v>
      </c>
      <c r="B16" s="32">
        <f t="shared" si="0"/>
        <v>0</v>
      </c>
      <c r="C16" s="32">
        <f t="shared" si="3"/>
        <v>0</v>
      </c>
      <c r="D16" s="32">
        <f t="shared" si="0"/>
        <v>0</v>
      </c>
      <c r="E16" s="32">
        <f t="shared" si="0"/>
        <v>0</v>
      </c>
      <c r="F16" s="56">
        <v>1.0069999999999999</v>
      </c>
      <c r="G16" s="32">
        <f t="shared" si="1"/>
        <v>0</v>
      </c>
      <c r="H16" s="32">
        <f t="shared" si="1"/>
        <v>0</v>
      </c>
      <c r="I16" s="32">
        <f t="shared" si="1"/>
        <v>0</v>
      </c>
      <c r="J16" s="32">
        <f t="shared" si="1"/>
        <v>0</v>
      </c>
      <c r="L16" s="61">
        <f t="shared" si="2"/>
        <v>0</v>
      </c>
      <c r="M16" s="61">
        <f t="shared" si="2"/>
        <v>0</v>
      </c>
      <c r="N16" s="61">
        <f>N36+N57</f>
        <v>0</v>
      </c>
      <c r="O16" s="61">
        <f>O36+O57</f>
        <v>0</v>
      </c>
      <c r="P16" s="61">
        <f t="shared" si="2"/>
        <v>0</v>
      </c>
      <c r="Q16" s="61">
        <f t="shared" si="2"/>
        <v>0</v>
      </c>
    </row>
    <row r="17" spans="1:17" x14ac:dyDescent="0.2">
      <c r="A17" s="30" t="s">
        <v>21</v>
      </c>
      <c r="B17" s="32">
        <f t="shared" si="0"/>
        <v>0</v>
      </c>
      <c r="C17" s="32">
        <f t="shared" si="3"/>
        <v>0</v>
      </c>
      <c r="D17" s="32">
        <f t="shared" si="0"/>
        <v>0</v>
      </c>
      <c r="E17" s="32">
        <f t="shared" si="0"/>
        <v>0</v>
      </c>
      <c r="F17" s="56">
        <v>1.0029999999999999</v>
      </c>
      <c r="G17" s="32">
        <f t="shared" si="1"/>
        <v>0</v>
      </c>
      <c r="H17" s="32">
        <f t="shared" si="1"/>
        <v>0</v>
      </c>
      <c r="I17" s="32">
        <f t="shared" si="1"/>
        <v>0</v>
      </c>
      <c r="J17" s="32">
        <f t="shared" si="1"/>
        <v>0</v>
      </c>
      <c r="L17" s="61">
        <f t="shared" si="2"/>
        <v>0</v>
      </c>
      <c r="M17" s="61">
        <f t="shared" si="2"/>
        <v>0</v>
      </c>
      <c r="N17" s="61">
        <f t="shared" ref="N17:O17" si="4">N37+N58</f>
        <v>0</v>
      </c>
      <c r="O17" s="61">
        <f t="shared" si="4"/>
        <v>0</v>
      </c>
      <c r="P17" s="61">
        <f t="shared" si="2"/>
        <v>0</v>
      </c>
      <c r="Q17" s="61">
        <f t="shared" si="2"/>
        <v>0</v>
      </c>
    </row>
    <row r="18" spans="1:17" x14ac:dyDescent="0.2">
      <c r="A18" s="30" t="s">
        <v>22</v>
      </c>
      <c r="B18" s="32">
        <f t="shared" si="0"/>
        <v>0</v>
      </c>
      <c r="C18" s="32">
        <f t="shared" si="3"/>
        <v>0</v>
      </c>
      <c r="D18" s="32">
        <f t="shared" si="0"/>
        <v>0</v>
      </c>
      <c r="E18" s="32">
        <f t="shared" si="0"/>
        <v>0</v>
      </c>
      <c r="F18" s="56">
        <v>1.0029999999999999</v>
      </c>
      <c r="G18" s="32">
        <f t="shared" si="1"/>
        <v>0</v>
      </c>
      <c r="H18" s="32">
        <f t="shared" si="1"/>
        <v>0</v>
      </c>
      <c r="I18" s="32">
        <f t="shared" si="1"/>
        <v>0</v>
      </c>
      <c r="J18" s="32">
        <f t="shared" si="1"/>
        <v>0</v>
      </c>
      <c r="L18" s="61">
        <f t="shared" si="2"/>
        <v>0</v>
      </c>
      <c r="M18" s="61">
        <f t="shared" si="2"/>
        <v>0</v>
      </c>
      <c r="N18" s="61">
        <f t="shared" ref="N18:O18" si="5">N38+N59</f>
        <v>0</v>
      </c>
      <c r="O18" s="61">
        <f t="shared" si="5"/>
        <v>0</v>
      </c>
      <c r="P18" s="61">
        <f t="shared" si="2"/>
        <v>0</v>
      </c>
      <c r="Q18" s="61">
        <f t="shared" si="2"/>
        <v>0</v>
      </c>
    </row>
    <row r="19" spans="1:17" ht="13.5" thickBot="1" x14ac:dyDescent="0.25">
      <c r="A19" s="31" t="s">
        <v>23</v>
      </c>
      <c r="B19" s="39">
        <f t="shared" si="0"/>
        <v>0</v>
      </c>
      <c r="C19" s="32">
        <f t="shared" si="3"/>
        <v>0</v>
      </c>
      <c r="D19" s="39">
        <f t="shared" si="0"/>
        <v>0</v>
      </c>
      <c r="E19" s="39">
        <f t="shared" si="0"/>
        <v>0</v>
      </c>
      <c r="F19" s="57">
        <v>1</v>
      </c>
      <c r="G19" s="39">
        <f t="shared" si="1"/>
        <v>0</v>
      </c>
      <c r="H19" s="39">
        <f t="shared" si="1"/>
        <v>0</v>
      </c>
      <c r="I19" s="39">
        <f t="shared" si="1"/>
        <v>0</v>
      </c>
      <c r="J19" s="39">
        <f t="shared" si="1"/>
        <v>0</v>
      </c>
      <c r="L19" s="68">
        <f t="shared" si="2"/>
        <v>0</v>
      </c>
      <c r="M19" s="68">
        <f t="shared" si="2"/>
        <v>0</v>
      </c>
      <c r="N19" s="61">
        <f t="shared" ref="N19:O19" si="6">N39+N60</f>
        <v>0</v>
      </c>
      <c r="O19" s="61">
        <f t="shared" si="6"/>
        <v>0</v>
      </c>
      <c r="P19" s="68">
        <f t="shared" si="2"/>
        <v>0</v>
      </c>
      <c r="Q19" s="68">
        <f t="shared" si="2"/>
        <v>0</v>
      </c>
    </row>
    <row r="20" spans="1:17" ht="13.5" thickBot="1" x14ac:dyDescent="0.25">
      <c r="A20" s="15" t="s">
        <v>24</v>
      </c>
      <c r="B20" s="21">
        <f t="shared" si="0"/>
        <v>10789015</v>
      </c>
      <c r="C20" s="32">
        <f t="shared" si="3"/>
        <v>2055310.9849999999</v>
      </c>
      <c r="D20" s="21">
        <f t="shared" si="0"/>
        <v>10788.014999999999</v>
      </c>
      <c r="E20" s="21">
        <f t="shared" si="0"/>
        <v>8733704.0150000006</v>
      </c>
      <c r="F20" s="50">
        <v>0</v>
      </c>
      <c r="G20" s="21">
        <f t="shared" si="1"/>
        <v>10980638.620999999</v>
      </c>
      <c r="H20" s="21">
        <f t="shared" si="1"/>
        <v>8888822.4566209987</v>
      </c>
      <c r="I20" s="21">
        <f t="shared" si="1"/>
        <v>920630.01500000001</v>
      </c>
      <c r="J20" s="21">
        <f t="shared" si="1"/>
        <v>2975941</v>
      </c>
      <c r="L20" s="69">
        <f t="shared" si="2"/>
        <v>179692</v>
      </c>
      <c r="M20" s="70">
        <f t="shared" si="2"/>
        <v>258937</v>
      </c>
      <c r="N20" s="70">
        <f t="shared" si="2"/>
        <v>375461</v>
      </c>
      <c r="O20" s="70">
        <f t="shared" si="2"/>
        <v>0</v>
      </c>
      <c r="P20" s="70">
        <f t="shared" si="2"/>
        <v>95751</v>
      </c>
      <c r="Q20" s="71">
        <f t="shared" si="2"/>
        <v>10789.014999999999</v>
      </c>
    </row>
    <row r="21" spans="1:17" x14ac:dyDescent="0.2">
      <c r="A21" s="8"/>
      <c r="B21" s="35"/>
      <c r="C21" s="35"/>
      <c r="D21" s="35"/>
      <c r="E21" s="35"/>
      <c r="F21" s="51"/>
      <c r="G21" s="35"/>
      <c r="H21" s="35"/>
      <c r="I21" s="35"/>
      <c r="J21" s="46"/>
    </row>
    <row r="22" spans="1:17" x14ac:dyDescent="0.2">
      <c r="A22" s="8"/>
      <c r="B22" s="35"/>
      <c r="C22" s="6"/>
      <c r="D22" s="6"/>
      <c r="E22" s="6"/>
      <c r="F22" s="51"/>
      <c r="G22" s="6"/>
      <c r="H22" s="6"/>
    </row>
    <row r="23" spans="1:17" ht="13.5" thickBot="1" x14ac:dyDescent="0.25">
      <c r="A23" s="8"/>
      <c r="B23" s="35"/>
      <c r="C23" s="6"/>
      <c r="D23" s="6"/>
      <c r="E23" s="6"/>
      <c r="F23" s="51"/>
      <c r="G23" s="6"/>
      <c r="H23" s="6"/>
      <c r="J23">
        <v>1</v>
      </c>
    </row>
    <row r="24" spans="1:17" x14ac:dyDescent="0.2">
      <c r="A24" s="4" t="s">
        <v>25</v>
      </c>
      <c r="B24" s="5" t="s">
        <v>39</v>
      </c>
      <c r="C24" s="5"/>
      <c r="D24" s="5"/>
      <c r="E24" s="5"/>
      <c r="F24" s="53"/>
      <c r="G24" s="3"/>
      <c r="H24" s="2"/>
    </row>
    <row r="25" spans="1:17" ht="13.5" thickBot="1" x14ac:dyDescent="0.25">
      <c r="A25" s="17" t="s">
        <v>1</v>
      </c>
      <c r="B25" s="10" t="s">
        <v>40</v>
      </c>
      <c r="C25" s="18"/>
      <c r="D25" s="18"/>
      <c r="E25" s="18"/>
      <c r="F25" s="54"/>
      <c r="G25" s="11"/>
      <c r="H25" s="12"/>
    </row>
    <row r="26" spans="1:17" ht="13.5" thickBot="1" x14ac:dyDescent="0.25">
      <c r="A26" s="45" t="s">
        <v>3</v>
      </c>
      <c r="B26" s="23" t="s">
        <v>4</v>
      </c>
      <c r="C26" s="23" t="s">
        <v>5</v>
      </c>
      <c r="D26" s="23" t="s">
        <v>43</v>
      </c>
      <c r="E26" s="23" t="s">
        <v>6</v>
      </c>
      <c r="F26" s="26" t="s">
        <v>7</v>
      </c>
      <c r="G26" s="23" t="s">
        <v>33</v>
      </c>
      <c r="H26" s="23" t="s">
        <v>8</v>
      </c>
      <c r="I26" s="26" t="s">
        <v>27</v>
      </c>
      <c r="J26" s="40" t="s">
        <v>30</v>
      </c>
      <c r="L26" s="72" t="s">
        <v>44</v>
      </c>
      <c r="M26" s="73"/>
      <c r="N26" s="73"/>
      <c r="O26" s="73"/>
      <c r="P26" s="73"/>
      <c r="Q26" s="74"/>
    </row>
    <row r="27" spans="1:17" ht="13.5" thickBot="1" x14ac:dyDescent="0.25">
      <c r="A27" s="24"/>
      <c r="B27" s="25" t="s">
        <v>9</v>
      </c>
      <c r="C27" s="25" t="s">
        <v>10</v>
      </c>
      <c r="D27" s="25" t="s">
        <v>42</v>
      </c>
      <c r="E27" s="25" t="s">
        <v>32</v>
      </c>
      <c r="F27" s="27" t="s">
        <v>11</v>
      </c>
      <c r="G27" s="25" t="s">
        <v>34</v>
      </c>
      <c r="H27" s="25" t="s">
        <v>35</v>
      </c>
      <c r="I27" s="27" t="s">
        <v>28</v>
      </c>
      <c r="J27" s="41" t="s">
        <v>31</v>
      </c>
      <c r="L27" s="58" t="s">
        <v>45</v>
      </c>
      <c r="M27" s="59" t="s">
        <v>46</v>
      </c>
      <c r="N27" s="59" t="s">
        <v>47</v>
      </c>
      <c r="O27" s="75" t="s">
        <v>54</v>
      </c>
      <c r="P27" s="60" t="s">
        <v>48</v>
      </c>
      <c r="Q27" s="65" t="s">
        <v>50</v>
      </c>
    </row>
    <row r="28" spans="1:17" x14ac:dyDescent="0.2">
      <c r="A28" s="13" t="s">
        <v>12</v>
      </c>
      <c r="B28" s="36">
        <v>750000</v>
      </c>
      <c r="C28" s="20">
        <f t="shared" ref="C28:C33" si="7">86625+4500+52500-D28</f>
        <v>142875</v>
      </c>
      <c r="D28" s="20">
        <f>B28*0.1/100</f>
        <v>750</v>
      </c>
      <c r="E28" s="20">
        <f>B28-C28</f>
        <v>607125</v>
      </c>
      <c r="F28" s="55">
        <v>1.036</v>
      </c>
      <c r="G28" s="20">
        <f t="shared" ref="G28:G39" si="8">B28*F28</f>
        <v>777000</v>
      </c>
      <c r="H28" s="37">
        <f t="shared" ref="H28:H39" si="9">E28*F28</f>
        <v>628981.5</v>
      </c>
      <c r="I28" s="42">
        <f>L28+M28+N28+P28+Q28</f>
        <v>63150</v>
      </c>
      <c r="J28" s="43">
        <f>C28+I28</f>
        <v>206025</v>
      </c>
      <c r="L28" s="61">
        <v>11550</v>
      </c>
      <c r="M28" s="61">
        <v>18000</v>
      </c>
      <c r="N28" s="61">
        <v>26100</v>
      </c>
      <c r="O28" s="61"/>
      <c r="P28" s="61">
        <v>6750</v>
      </c>
      <c r="Q28" s="66">
        <f t="shared" ref="Q28:Q39" si="10">D28</f>
        <v>750</v>
      </c>
    </row>
    <row r="29" spans="1:17" x14ac:dyDescent="0.2">
      <c r="A29" s="13" t="s">
        <v>13</v>
      </c>
      <c r="B29" s="20">
        <v>750000</v>
      </c>
      <c r="C29" s="20">
        <f t="shared" si="7"/>
        <v>142875</v>
      </c>
      <c r="D29" s="20">
        <f t="shared" ref="D29:D39" si="11">B29*0.1/100</f>
        <v>750</v>
      </c>
      <c r="E29" s="20">
        <f t="shared" ref="E29:E39" si="12">B29-C29</f>
        <v>607125</v>
      </c>
      <c r="F29" s="56">
        <v>1.026</v>
      </c>
      <c r="G29" s="20">
        <f t="shared" si="8"/>
        <v>769500</v>
      </c>
      <c r="H29" s="38">
        <f t="shared" si="9"/>
        <v>622910.25</v>
      </c>
      <c r="I29" s="42">
        <f t="shared" ref="I29:I39" si="13">L29+M29+N29+P29+Q29</f>
        <v>63150</v>
      </c>
      <c r="J29" s="43">
        <f t="shared" ref="J29:J39" si="14">C29+I29</f>
        <v>206025</v>
      </c>
      <c r="L29" s="62">
        <v>11550</v>
      </c>
      <c r="M29" s="62">
        <v>18000</v>
      </c>
      <c r="N29" s="62">
        <v>26100</v>
      </c>
      <c r="O29" s="62"/>
      <c r="P29" s="62">
        <v>6750</v>
      </c>
      <c r="Q29" s="66">
        <f t="shared" si="10"/>
        <v>750</v>
      </c>
    </row>
    <row r="30" spans="1:17" x14ac:dyDescent="0.2">
      <c r="A30" s="13" t="s">
        <v>14</v>
      </c>
      <c r="B30" s="20">
        <v>750000</v>
      </c>
      <c r="C30" s="20">
        <f t="shared" si="7"/>
        <v>142875</v>
      </c>
      <c r="D30" s="20">
        <f t="shared" si="11"/>
        <v>750</v>
      </c>
      <c r="E30" s="20">
        <f t="shared" si="12"/>
        <v>607125</v>
      </c>
      <c r="F30" s="56">
        <v>1.022</v>
      </c>
      <c r="G30" s="20">
        <f t="shared" si="8"/>
        <v>766500</v>
      </c>
      <c r="H30" s="38">
        <f t="shared" si="9"/>
        <v>620481.75</v>
      </c>
      <c r="I30" s="42">
        <f t="shared" si="13"/>
        <v>63150</v>
      </c>
      <c r="J30" s="43">
        <f t="shared" si="14"/>
        <v>206025</v>
      </c>
      <c r="L30" s="62">
        <v>11550</v>
      </c>
      <c r="M30" s="62">
        <v>18000</v>
      </c>
      <c r="N30" s="62">
        <v>26100</v>
      </c>
      <c r="O30" s="62"/>
      <c r="P30" s="62">
        <v>6750</v>
      </c>
      <c r="Q30" s="66">
        <f t="shared" si="10"/>
        <v>750</v>
      </c>
    </row>
    <row r="31" spans="1:17" x14ac:dyDescent="0.2">
      <c r="A31" s="13" t="s">
        <v>15</v>
      </c>
      <c r="B31" s="20">
        <v>750000</v>
      </c>
      <c r="C31" s="20">
        <f t="shared" si="7"/>
        <v>142875</v>
      </c>
      <c r="D31" s="20">
        <f t="shared" si="11"/>
        <v>750</v>
      </c>
      <c r="E31" s="20">
        <f t="shared" si="12"/>
        <v>607125</v>
      </c>
      <c r="F31" s="56">
        <v>1.016</v>
      </c>
      <c r="G31" s="20">
        <f t="shared" si="8"/>
        <v>762000</v>
      </c>
      <c r="H31" s="38">
        <f t="shared" si="9"/>
        <v>616839</v>
      </c>
      <c r="I31" s="42">
        <f t="shared" si="13"/>
        <v>63750</v>
      </c>
      <c r="J31" s="43">
        <f t="shared" si="14"/>
        <v>206625</v>
      </c>
      <c r="L31" s="62">
        <v>12150</v>
      </c>
      <c r="M31" s="62">
        <v>18000</v>
      </c>
      <c r="N31" s="62">
        <v>26100</v>
      </c>
      <c r="O31" s="62"/>
      <c r="P31" s="62">
        <v>6750</v>
      </c>
      <c r="Q31" s="66">
        <f t="shared" si="10"/>
        <v>750</v>
      </c>
    </row>
    <row r="32" spans="1:17" x14ac:dyDescent="0.2">
      <c r="A32" s="13" t="s">
        <v>16</v>
      </c>
      <c r="B32" s="20">
        <v>750000</v>
      </c>
      <c r="C32" s="20">
        <f t="shared" si="7"/>
        <v>142875</v>
      </c>
      <c r="D32" s="20">
        <f t="shared" si="11"/>
        <v>750</v>
      </c>
      <c r="E32" s="20">
        <f t="shared" si="12"/>
        <v>607125</v>
      </c>
      <c r="F32" s="56">
        <v>1.014</v>
      </c>
      <c r="G32" s="20">
        <f t="shared" si="8"/>
        <v>760500</v>
      </c>
      <c r="H32" s="38">
        <f t="shared" si="9"/>
        <v>615624.75</v>
      </c>
      <c r="I32" s="42">
        <f t="shared" si="13"/>
        <v>63750</v>
      </c>
      <c r="J32" s="43">
        <f t="shared" si="14"/>
        <v>206625</v>
      </c>
      <c r="L32" s="62">
        <v>12150</v>
      </c>
      <c r="M32" s="62">
        <v>18000</v>
      </c>
      <c r="N32" s="62">
        <v>26100</v>
      </c>
      <c r="O32" s="62"/>
      <c r="P32" s="62">
        <v>6750</v>
      </c>
      <c r="Q32" s="66">
        <f t="shared" si="10"/>
        <v>750</v>
      </c>
    </row>
    <row r="33" spans="1:17" x14ac:dyDescent="0.2">
      <c r="A33" s="13" t="s">
        <v>17</v>
      </c>
      <c r="B33" s="20">
        <v>750000</v>
      </c>
      <c r="C33" s="20">
        <f t="shared" si="7"/>
        <v>142875</v>
      </c>
      <c r="D33" s="20">
        <f t="shared" si="11"/>
        <v>750</v>
      </c>
      <c r="E33" s="20">
        <f t="shared" si="12"/>
        <v>607125</v>
      </c>
      <c r="F33" s="56">
        <v>1.012</v>
      </c>
      <c r="G33" s="20">
        <f t="shared" si="8"/>
        <v>759000</v>
      </c>
      <c r="H33" s="38">
        <f t="shared" si="9"/>
        <v>614410.5</v>
      </c>
      <c r="I33" s="42">
        <f t="shared" si="13"/>
        <v>63750</v>
      </c>
      <c r="J33" s="43">
        <f t="shared" si="14"/>
        <v>206625</v>
      </c>
      <c r="L33" s="62">
        <v>12150</v>
      </c>
      <c r="M33" s="62">
        <v>18000</v>
      </c>
      <c r="N33" s="62">
        <v>26100</v>
      </c>
      <c r="O33" s="62"/>
      <c r="P33" s="62">
        <v>6750</v>
      </c>
      <c r="Q33" s="66">
        <f t="shared" si="10"/>
        <v>750</v>
      </c>
    </row>
    <row r="34" spans="1:17" x14ac:dyDescent="0.2">
      <c r="A34" s="13" t="s">
        <v>18</v>
      </c>
      <c r="B34" s="20">
        <v>750000</v>
      </c>
      <c r="C34" s="20">
        <f>86625+4500+52500-D34</f>
        <v>142875</v>
      </c>
      <c r="D34" s="20">
        <f t="shared" si="11"/>
        <v>750</v>
      </c>
      <c r="E34" s="20">
        <f t="shared" si="12"/>
        <v>607125</v>
      </c>
      <c r="F34" s="56">
        <v>1.0169999999999999</v>
      </c>
      <c r="G34" s="20">
        <f t="shared" si="8"/>
        <v>762749.99999999988</v>
      </c>
      <c r="H34" s="38">
        <f t="shared" si="9"/>
        <v>617446.12499999988</v>
      </c>
      <c r="I34" s="42">
        <f t="shared" si="13"/>
        <v>66600</v>
      </c>
      <c r="J34" s="43">
        <f t="shared" si="14"/>
        <v>209475</v>
      </c>
      <c r="L34" s="62">
        <v>15000</v>
      </c>
      <c r="M34" s="62">
        <v>18000</v>
      </c>
      <c r="N34" s="62">
        <v>26100</v>
      </c>
      <c r="O34" s="62"/>
      <c r="P34" s="62">
        <v>6750</v>
      </c>
      <c r="Q34" s="66">
        <f t="shared" si="10"/>
        <v>750</v>
      </c>
    </row>
    <row r="35" spans="1:17" x14ac:dyDescent="0.2">
      <c r="A35" s="13" t="s">
        <v>19</v>
      </c>
      <c r="B35" s="20">
        <v>750000</v>
      </c>
      <c r="C35" s="20">
        <f>86625+4500+52500-D35</f>
        <v>142875</v>
      </c>
      <c r="D35" s="20">
        <f t="shared" si="11"/>
        <v>750</v>
      </c>
      <c r="E35" s="20">
        <f t="shared" si="12"/>
        <v>607125</v>
      </c>
      <c r="F35" s="56">
        <v>1.008</v>
      </c>
      <c r="G35" s="20">
        <f t="shared" si="8"/>
        <v>756000</v>
      </c>
      <c r="H35" s="38">
        <f t="shared" si="9"/>
        <v>611982</v>
      </c>
      <c r="I35" s="42">
        <f t="shared" si="13"/>
        <v>63600</v>
      </c>
      <c r="J35" s="43">
        <f t="shared" si="14"/>
        <v>206475</v>
      </c>
      <c r="L35" s="62">
        <v>13350</v>
      </c>
      <c r="M35" s="62">
        <v>18000</v>
      </c>
      <c r="N35" s="62">
        <v>26100</v>
      </c>
      <c r="O35" s="62"/>
      <c r="P35" s="62">
        <v>5400</v>
      </c>
      <c r="Q35" s="66">
        <f t="shared" si="10"/>
        <v>750</v>
      </c>
    </row>
    <row r="36" spans="1:17" x14ac:dyDescent="0.2">
      <c r="A36" s="13" t="s">
        <v>20</v>
      </c>
      <c r="B36" s="20">
        <v>0</v>
      </c>
      <c r="C36" s="20">
        <v>0</v>
      </c>
      <c r="D36" s="20">
        <f t="shared" si="11"/>
        <v>0</v>
      </c>
      <c r="E36" s="20">
        <f t="shared" si="12"/>
        <v>0</v>
      </c>
      <c r="F36" s="56">
        <v>1.0069999999999999</v>
      </c>
      <c r="G36" s="20">
        <f t="shared" si="8"/>
        <v>0</v>
      </c>
      <c r="H36" s="38">
        <f t="shared" si="9"/>
        <v>0</v>
      </c>
      <c r="I36" s="42">
        <f t="shared" si="13"/>
        <v>0</v>
      </c>
      <c r="J36" s="43">
        <f t="shared" si="14"/>
        <v>0</v>
      </c>
      <c r="L36" s="62"/>
      <c r="M36" s="62"/>
      <c r="N36" s="62"/>
      <c r="O36" s="62"/>
      <c r="P36" s="62"/>
      <c r="Q36" s="66">
        <f t="shared" si="10"/>
        <v>0</v>
      </c>
    </row>
    <row r="37" spans="1:17" x14ac:dyDescent="0.2">
      <c r="A37" s="13" t="s">
        <v>21</v>
      </c>
      <c r="B37" s="20">
        <v>0</v>
      </c>
      <c r="C37" s="20">
        <v>0</v>
      </c>
      <c r="D37" s="20">
        <f t="shared" si="11"/>
        <v>0</v>
      </c>
      <c r="E37" s="20">
        <f t="shared" si="12"/>
        <v>0</v>
      </c>
      <c r="F37" s="56">
        <v>1.0029999999999999</v>
      </c>
      <c r="G37" s="20">
        <f t="shared" si="8"/>
        <v>0</v>
      </c>
      <c r="H37" s="38">
        <f t="shared" si="9"/>
        <v>0</v>
      </c>
      <c r="I37" s="42">
        <f t="shared" si="13"/>
        <v>0</v>
      </c>
      <c r="J37" s="43">
        <f t="shared" si="14"/>
        <v>0</v>
      </c>
      <c r="L37" s="62"/>
      <c r="M37" s="62"/>
      <c r="N37" s="62"/>
      <c r="O37" s="62"/>
      <c r="P37" s="62"/>
      <c r="Q37" s="66">
        <f t="shared" si="10"/>
        <v>0</v>
      </c>
    </row>
    <row r="38" spans="1:17" x14ac:dyDescent="0.2">
      <c r="A38" s="13" t="s">
        <v>22</v>
      </c>
      <c r="B38" s="20">
        <v>0</v>
      </c>
      <c r="C38" s="20">
        <v>0</v>
      </c>
      <c r="D38" s="20">
        <f t="shared" si="11"/>
        <v>0</v>
      </c>
      <c r="E38" s="20">
        <f t="shared" si="12"/>
        <v>0</v>
      </c>
      <c r="F38" s="56">
        <v>1.0029999999999999</v>
      </c>
      <c r="G38" s="20">
        <f t="shared" si="8"/>
        <v>0</v>
      </c>
      <c r="H38" s="38">
        <f t="shared" si="9"/>
        <v>0</v>
      </c>
      <c r="I38" s="42">
        <f t="shared" si="13"/>
        <v>0</v>
      </c>
      <c r="J38" s="43">
        <f t="shared" si="14"/>
        <v>0</v>
      </c>
      <c r="L38" s="62"/>
      <c r="M38" s="62"/>
      <c r="N38" s="62"/>
      <c r="O38" s="62"/>
      <c r="P38" s="62"/>
      <c r="Q38" s="66">
        <f t="shared" si="10"/>
        <v>0</v>
      </c>
    </row>
    <row r="39" spans="1:17" ht="13.5" thickBot="1" x14ac:dyDescent="0.25">
      <c r="A39" s="14" t="s">
        <v>23</v>
      </c>
      <c r="B39" s="20">
        <v>0</v>
      </c>
      <c r="C39" s="20">
        <v>0</v>
      </c>
      <c r="D39" s="20">
        <f t="shared" si="11"/>
        <v>0</v>
      </c>
      <c r="E39" s="20">
        <f t="shared" si="12"/>
        <v>0</v>
      </c>
      <c r="F39" s="57">
        <v>1</v>
      </c>
      <c r="G39" s="20">
        <f t="shared" si="8"/>
        <v>0</v>
      </c>
      <c r="H39" s="38">
        <f t="shared" si="9"/>
        <v>0</v>
      </c>
      <c r="I39" s="42">
        <f t="shared" si="13"/>
        <v>0</v>
      </c>
      <c r="J39" s="44">
        <f t="shared" si="14"/>
        <v>0</v>
      </c>
      <c r="L39" s="63"/>
      <c r="M39" s="63"/>
      <c r="N39" s="63"/>
      <c r="O39" s="63"/>
      <c r="P39" s="63"/>
      <c r="Q39" s="66">
        <f t="shared" si="10"/>
        <v>0</v>
      </c>
    </row>
    <row r="40" spans="1:17" ht="13.5" thickBot="1" x14ac:dyDescent="0.25">
      <c r="A40" s="15" t="s">
        <v>24</v>
      </c>
      <c r="B40" s="16">
        <f>SUM(B28:B39)</f>
        <v>6000000</v>
      </c>
      <c r="C40" s="16">
        <f>SUM(C28:C39)</f>
        <v>1143000</v>
      </c>
      <c r="D40" s="16">
        <f>SUM(D28:D39)</f>
        <v>6000</v>
      </c>
      <c r="E40" s="16">
        <f>SUM(E28:E39)</f>
        <v>4857000</v>
      </c>
      <c r="F40" s="50"/>
      <c r="G40" s="16">
        <f>SUM(G28:G39)</f>
        <v>6113250</v>
      </c>
      <c r="H40" s="16">
        <f>SUM(H28:H39)</f>
        <v>4948675.875</v>
      </c>
      <c r="I40" s="16">
        <f>SUM(I28:I39)</f>
        <v>510900</v>
      </c>
      <c r="J40" s="16">
        <f>SUM(J28:J39)</f>
        <v>1653900</v>
      </c>
      <c r="L40" s="64">
        <f>SUM(L28:L39)</f>
        <v>99450</v>
      </c>
      <c r="M40" s="64">
        <f>SUM(M28:M39)</f>
        <v>144000</v>
      </c>
      <c r="N40" s="64">
        <f>SUM(N28:N39)</f>
        <v>208800</v>
      </c>
      <c r="O40" s="64"/>
      <c r="P40" s="64">
        <f>SUM(P28:P39)</f>
        <v>52650</v>
      </c>
      <c r="Q40" s="67">
        <f>SUM(Q28:Q39)</f>
        <v>6000</v>
      </c>
    </row>
    <row r="44" spans="1:17" ht="13.5" thickBot="1" x14ac:dyDescent="0.25">
      <c r="J44">
        <v>2</v>
      </c>
    </row>
    <row r="45" spans="1:17" x14ac:dyDescent="0.2">
      <c r="A45" s="4" t="s">
        <v>25</v>
      </c>
      <c r="B45" s="5" t="s">
        <v>49</v>
      </c>
      <c r="C45" s="5"/>
      <c r="D45" s="5"/>
      <c r="E45" s="5"/>
      <c r="F45" s="53"/>
      <c r="G45" s="3"/>
      <c r="H45" s="2"/>
    </row>
    <row r="46" spans="1:17" ht="13.5" thickBot="1" x14ac:dyDescent="0.25">
      <c r="A46" s="17" t="s">
        <v>1</v>
      </c>
      <c r="B46" s="10" t="s">
        <v>53</v>
      </c>
      <c r="C46" s="18"/>
      <c r="D46" s="18"/>
      <c r="E46" s="18"/>
      <c r="F46" s="54"/>
      <c r="G46" s="11"/>
      <c r="H46" s="12"/>
    </row>
    <row r="47" spans="1:17" ht="13.5" thickBot="1" x14ac:dyDescent="0.25">
      <c r="A47" s="45" t="s">
        <v>3</v>
      </c>
      <c r="B47" s="23" t="s">
        <v>4</v>
      </c>
      <c r="C47" s="23" t="s">
        <v>5</v>
      </c>
      <c r="D47" s="23" t="s">
        <v>41</v>
      </c>
      <c r="E47" s="23" t="s">
        <v>6</v>
      </c>
      <c r="F47" s="26" t="s">
        <v>7</v>
      </c>
      <c r="G47" s="23" t="s">
        <v>33</v>
      </c>
      <c r="H47" s="23" t="s">
        <v>8</v>
      </c>
      <c r="I47" s="22" t="s">
        <v>27</v>
      </c>
      <c r="J47" s="40" t="s">
        <v>30</v>
      </c>
      <c r="L47" s="72" t="s">
        <v>44</v>
      </c>
      <c r="M47" s="73"/>
      <c r="N47" s="73"/>
      <c r="O47" s="73"/>
      <c r="P47" s="73"/>
      <c r="Q47" s="74"/>
    </row>
    <row r="48" spans="1:17" ht="13.5" thickBot="1" x14ac:dyDescent="0.25">
      <c r="A48" s="24"/>
      <c r="B48" s="25" t="s">
        <v>9</v>
      </c>
      <c r="C48" s="25" t="s">
        <v>10</v>
      </c>
      <c r="D48" s="25" t="s">
        <v>42</v>
      </c>
      <c r="E48" s="25" t="s">
        <v>32</v>
      </c>
      <c r="F48" s="27" t="s">
        <v>11</v>
      </c>
      <c r="G48" s="25" t="s">
        <v>34</v>
      </c>
      <c r="H48" s="25" t="s">
        <v>35</v>
      </c>
      <c r="I48" s="24" t="s">
        <v>28</v>
      </c>
      <c r="J48" s="41" t="s">
        <v>31</v>
      </c>
      <c r="L48" s="58" t="s">
        <v>45</v>
      </c>
      <c r="M48" s="59" t="s">
        <v>46</v>
      </c>
      <c r="N48" s="59" t="s">
        <v>47</v>
      </c>
      <c r="O48" s="75" t="s">
        <v>54</v>
      </c>
      <c r="P48" s="60" t="s">
        <v>48</v>
      </c>
      <c r="Q48" s="65" t="s">
        <v>50</v>
      </c>
    </row>
    <row r="49" spans="1:17" x14ac:dyDescent="0.2">
      <c r="A49" s="13" t="s">
        <v>12</v>
      </c>
      <c r="B49" s="36">
        <v>0</v>
      </c>
      <c r="C49" s="20">
        <v>0</v>
      </c>
      <c r="D49" s="20">
        <v>0</v>
      </c>
      <c r="E49" s="20">
        <f>B49-C49</f>
        <v>0</v>
      </c>
      <c r="F49" s="55">
        <v>1.036</v>
      </c>
      <c r="G49" s="20">
        <f t="shared" ref="G49:G60" si="15">B49*F49</f>
        <v>0</v>
      </c>
      <c r="H49" s="37">
        <f t="shared" ref="H49:H60" si="16">E49*F49</f>
        <v>0</v>
      </c>
      <c r="I49" s="42">
        <f>L49+M49+N49+P49+Q49</f>
        <v>0</v>
      </c>
      <c r="J49" s="43">
        <f>C49+I49</f>
        <v>0</v>
      </c>
      <c r="L49" s="61">
        <v>0</v>
      </c>
      <c r="M49" s="61">
        <v>0</v>
      </c>
      <c r="N49" s="61">
        <v>0</v>
      </c>
      <c r="O49" s="61"/>
      <c r="P49" s="61">
        <v>0</v>
      </c>
      <c r="Q49" s="66">
        <f>D49</f>
        <v>0</v>
      </c>
    </row>
    <row r="50" spans="1:17" x14ac:dyDescent="0.2">
      <c r="A50" s="13" t="s">
        <v>13</v>
      </c>
      <c r="B50" s="20">
        <v>673750</v>
      </c>
      <c r="C50" s="20">
        <f>77818+4043+47163-D50</f>
        <v>128350.25</v>
      </c>
      <c r="D50" s="20">
        <f>B50*0.1%</f>
        <v>673.75</v>
      </c>
      <c r="E50" s="20">
        <f t="shared" ref="E50:E60" si="17">B50-C50</f>
        <v>545399.75</v>
      </c>
      <c r="F50" s="56">
        <v>1.026</v>
      </c>
      <c r="G50" s="20">
        <f t="shared" si="15"/>
        <v>691267.5</v>
      </c>
      <c r="H50" s="38">
        <f t="shared" si="16"/>
        <v>559580.14350000001</v>
      </c>
      <c r="I50" s="42">
        <f t="shared" ref="I50:I60" si="18">L50+M50+N50+P50+Q50</f>
        <v>56730.75</v>
      </c>
      <c r="J50" s="43">
        <f t="shared" ref="J50:J60" si="19">C50+I50</f>
        <v>185081</v>
      </c>
      <c r="L50" s="62">
        <v>10376</v>
      </c>
      <c r="M50" s="62">
        <v>16170</v>
      </c>
      <c r="N50" s="62">
        <v>23447</v>
      </c>
      <c r="O50" s="62"/>
      <c r="P50" s="62">
        <v>6064</v>
      </c>
      <c r="Q50" s="66">
        <f>D50</f>
        <v>673.75</v>
      </c>
    </row>
    <row r="51" spans="1:17" x14ac:dyDescent="0.2">
      <c r="A51" s="13" t="s">
        <v>14</v>
      </c>
      <c r="B51" s="20">
        <v>673750</v>
      </c>
      <c r="C51" s="20">
        <f>77818+4043+47163-D51</f>
        <v>128350.25</v>
      </c>
      <c r="D51" s="20">
        <f t="shared" ref="D51:D60" si="20">B51*0.1%</f>
        <v>673.75</v>
      </c>
      <c r="E51" s="20">
        <f t="shared" si="17"/>
        <v>545399.75</v>
      </c>
      <c r="F51" s="56">
        <v>1.022</v>
      </c>
      <c r="G51" s="20">
        <f t="shared" si="15"/>
        <v>688572.5</v>
      </c>
      <c r="H51" s="38">
        <f t="shared" si="16"/>
        <v>557398.54449999996</v>
      </c>
      <c r="I51" s="42">
        <f t="shared" si="18"/>
        <v>56730.75</v>
      </c>
      <c r="J51" s="43">
        <f t="shared" si="19"/>
        <v>185081</v>
      </c>
      <c r="L51" s="62">
        <v>10376</v>
      </c>
      <c r="M51" s="62">
        <v>16170</v>
      </c>
      <c r="N51" s="62">
        <v>23447</v>
      </c>
      <c r="O51" s="62"/>
      <c r="P51" s="62">
        <v>6064</v>
      </c>
      <c r="Q51" s="66">
        <f t="shared" ref="Q51:Q60" si="21">D51</f>
        <v>673.75</v>
      </c>
    </row>
    <row r="52" spans="1:17" x14ac:dyDescent="0.2">
      <c r="A52" s="13" t="s">
        <v>15</v>
      </c>
      <c r="B52" s="20">
        <v>673750</v>
      </c>
      <c r="C52" s="20">
        <f>77818+4043+47163-D52</f>
        <v>128350.25</v>
      </c>
      <c r="D52" s="20">
        <f t="shared" si="20"/>
        <v>673.75</v>
      </c>
      <c r="E52" s="20">
        <f t="shared" si="17"/>
        <v>545399.75</v>
      </c>
      <c r="F52" s="56">
        <v>1.016</v>
      </c>
      <c r="G52" s="20">
        <f t="shared" si="15"/>
        <v>684530</v>
      </c>
      <c r="H52" s="38">
        <f t="shared" si="16"/>
        <v>554126.14599999995</v>
      </c>
      <c r="I52" s="42">
        <f t="shared" si="18"/>
        <v>57269.75</v>
      </c>
      <c r="J52" s="43">
        <f t="shared" si="19"/>
        <v>185620</v>
      </c>
      <c r="L52" s="62">
        <v>10915</v>
      </c>
      <c r="M52" s="62">
        <v>16170</v>
      </c>
      <c r="N52" s="62">
        <v>23447</v>
      </c>
      <c r="O52" s="62"/>
      <c r="P52" s="62">
        <v>6064</v>
      </c>
      <c r="Q52" s="66">
        <f t="shared" si="21"/>
        <v>673.75</v>
      </c>
    </row>
    <row r="53" spans="1:17" x14ac:dyDescent="0.2">
      <c r="A53" s="13" t="s">
        <v>16</v>
      </c>
      <c r="B53" s="20">
        <v>673750</v>
      </c>
      <c r="C53" s="20">
        <f>77818+4043+47163-D53</f>
        <v>128350.25</v>
      </c>
      <c r="D53" s="20">
        <f t="shared" si="20"/>
        <v>673.75</v>
      </c>
      <c r="E53" s="20">
        <f t="shared" si="17"/>
        <v>545399.75</v>
      </c>
      <c r="F53" s="56">
        <v>1.014</v>
      </c>
      <c r="G53" s="20">
        <f t="shared" si="15"/>
        <v>683182.5</v>
      </c>
      <c r="H53" s="38">
        <f t="shared" si="16"/>
        <v>553035.34649999999</v>
      </c>
      <c r="I53" s="42">
        <f t="shared" si="18"/>
        <v>57269.75</v>
      </c>
      <c r="J53" s="43">
        <f t="shared" si="19"/>
        <v>185620</v>
      </c>
      <c r="L53" s="62">
        <v>10915</v>
      </c>
      <c r="M53" s="62">
        <v>16170</v>
      </c>
      <c r="N53" s="62">
        <v>23447</v>
      </c>
      <c r="O53" s="62"/>
      <c r="P53" s="62">
        <v>6064</v>
      </c>
      <c r="Q53" s="66">
        <f t="shared" si="21"/>
        <v>673.75</v>
      </c>
    </row>
    <row r="54" spans="1:17" x14ac:dyDescent="0.2">
      <c r="A54" s="13" t="s">
        <v>17</v>
      </c>
      <c r="B54" s="20">
        <v>710133</v>
      </c>
      <c r="C54" s="20">
        <f>82020+4261+49709-D54</f>
        <v>135279.867</v>
      </c>
      <c r="D54" s="20">
        <f t="shared" si="20"/>
        <v>710.13300000000004</v>
      </c>
      <c r="E54" s="20">
        <f t="shared" si="17"/>
        <v>574853.13300000003</v>
      </c>
      <c r="F54" s="56">
        <v>1.012</v>
      </c>
      <c r="G54" s="20">
        <f t="shared" si="15"/>
        <v>718654.59600000002</v>
      </c>
      <c r="H54" s="38">
        <f t="shared" si="16"/>
        <v>581751.37059599999</v>
      </c>
      <c r="I54" s="42">
        <f t="shared" si="18"/>
        <v>60361.133000000002</v>
      </c>
      <c r="J54" s="43">
        <f t="shared" si="19"/>
        <v>195641</v>
      </c>
      <c r="L54" s="62">
        <v>11504</v>
      </c>
      <c r="M54" s="62">
        <v>17043</v>
      </c>
      <c r="N54" s="62">
        <v>24713</v>
      </c>
      <c r="O54" s="62"/>
      <c r="P54" s="62">
        <v>6391</v>
      </c>
      <c r="Q54" s="66">
        <f t="shared" si="21"/>
        <v>710.13300000000004</v>
      </c>
    </row>
    <row r="55" spans="1:17" x14ac:dyDescent="0.2">
      <c r="A55" s="13" t="s">
        <v>18</v>
      </c>
      <c r="B55" s="20">
        <v>691941</v>
      </c>
      <c r="C55" s="20">
        <f>79919+4152+48436-D55</f>
        <v>131815.05900000001</v>
      </c>
      <c r="D55" s="20">
        <f t="shared" si="20"/>
        <v>691.94100000000003</v>
      </c>
      <c r="E55" s="20">
        <f t="shared" si="17"/>
        <v>560125.94099999999</v>
      </c>
      <c r="F55" s="56">
        <v>1.0169999999999999</v>
      </c>
      <c r="G55" s="20">
        <f t="shared" si="15"/>
        <v>703703.99699999997</v>
      </c>
      <c r="H55" s="38">
        <f t="shared" si="16"/>
        <v>569648.08199699991</v>
      </c>
      <c r="I55" s="42">
        <f t="shared" si="18"/>
        <v>61444.940999999999</v>
      </c>
      <c r="J55" s="43">
        <f t="shared" si="19"/>
        <v>193260</v>
      </c>
      <c r="L55" s="62">
        <v>13839</v>
      </c>
      <c r="M55" s="62">
        <v>16607</v>
      </c>
      <c r="N55" s="62">
        <v>24080</v>
      </c>
      <c r="O55" s="62"/>
      <c r="P55" s="62">
        <v>6227</v>
      </c>
      <c r="Q55" s="66">
        <f t="shared" si="21"/>
        <v>691.94100000000003</v>
      </c>
    </row>
    <row r="56" spans="1:17" x14ac:dyDescent="0.2">
      <c r="A56" s="13" t="s">
        <v>19</v>
      </c>
      <c r="B56" s="20">
        <v>691941</v>
      </c>
      <c r="C56" s="20">
        <f>79919+4152+48436-D56</f>
        <v>131815.05900000001</v>
      </c>
      <c r="D56" s="20">
        <f t="shared" si="20"/>
        <v>691.94100000000003</v>
      </c>
      <c r="E56" s="20">
        <f t="shared" si="17"/>
        <v>560125.94099999999</v>
      </c>
      <c r="F56" s="56">
        <v>1.008</v>
      </c>
      <c r="G56" s="20">
        <f t="shared" si="15"/>
        <v>697476.52800000005</v>
      </c>
      <c r="H56" s="38">
        <f t="shared" si="16"/>
        <v>564606.94852800004</v>
      </c>
      <c r="I56" s="42">
        <f t="shared" si="18"/>
        <v>59922.940999999999</v>
      </c>
      <c r="J56" s="43">
        <f t="shared" si="19"/>
        <v>191738</v>
      </c>
      <c r="L56" s="62">
        <v>12317</v>
      </c>
      <c r="M56" s="62">
        <v>16607</v>
      </c>
      <c r="N56" s="62">
        <v>24080</v>
      </c>
      <c r="O56" s="62"/>
      <c r="P56" s="62">
        <v>6227</v>
      </c>
      <c r="Q56" s="66">
        <f t="shared" si="21"/>
        <v>691.94100000000003</v>
      </c>
    </row>
    <row r="57" spans="1:17" x14ac:dyDescent="0.2">
      <c r="A57" s="13" t="s">
        <v>20</v>
      </c>
      <c r="B57" s="20"/>
      <c r="C57" s="20"/>
      <c r="D57" s="20">
        <f t="shared" si="20"/>
        <v>0</v>
      </c>
      <c r="E57" s="20">
        <f t="shared" si="17"/>
        <v>0</v>
      </c>
      <c r="F57" s="56">
        <v>1.0069999999999999</v>
      </c>
      <c r="G57" s="20">
        <f t="shared" si="15"/>
        <v>0</v>
      </c>
      <c r="H57" s="38">
        <f t="shared" si="16"/>
        <v>0</v>
      </c>
      <c r="I57" s="42">
        <f t="shared" si="18"/>
        <v>0</v>
      </c>
      <c r="J57" s="43">
        <f t="shared" si="19"/>
        <v>0</v>
      </c>
      <c r="L57" s="62"/>
      <c r="M57" s="62"/>
      <c r="N57" s="62"/>
      <c r="O57" s="62"/>
      <c r="P57" s="62"/>
      <c r="Q57" s="66">
        <f t="shared" si="21"/>
        <v>0</v>
      </c>
    </row>
    <row r="58" spans="1:17" x14ac:dyDescent="0.2">
      <c r="A58" s="13" t="s">
        <v>21</v>
      </c>
      <c r="B58" s="20"/>
      <c r="C58" s="20"/>
      <c r="D58" s="20">
        <f t="shared" si="20"/>
        <v>0</v>
      </c>
      <c r="E58" s="20">
        <f t="shared" si="17"/>
        <v>0</v>
      </c>
      <c r="F58" s="56">
        <v>1.0029999999999999</v>
      </c>
      <c r="G58" s="20">
        <f t="shared" si="15"/>
        <v>0</v>
      </c>
      <c r="H58" s="38">
        <f t="shared" si="16"/>
        <v>0</v>
      </c>
      <c r="I58" s="42">
        <f t="shared" si="18"/>
        <v>0</v>
      </c>
      <c r="J58" s="43">
        <f t="shared" si="19"/>
        <v>0</v>
      </c>
      <c r="L58" s="62"/>
      <c r="M58" s="62"/>
      <c r="N58" s="62"/>
      <c r="O58" s="62"/>
      <c r="P58" s="62"/>
      <c r="Q58" s="66">
        <f t="shared" si="21"/>
        <v>0</v>
      </c>
    </row>
    <row r="59" spans="1:17" x14ac:dyDescent="0.2">
      <c r="A59" s="13" t="s">
        <v>22</v>
      </c>
      <c r="B59" s="20"/>
      <c r="C59" s="20"/>
      <c r="D59" s="20">
        <f t="shared" si="20"/>
        <v>0</v>
      </c>
      <c r="E59" s="20">
        <f t="shared" si="17"/>
        <v>0</v>
      </c>
      <c r="F59" s="56">
        <v>1.0029999999999999</v>
      </c>
      <c r="G59" s="20">
        <f t="shared" si="15"/>
        <v>0</v>
      </c>
      <c r="H59" s="38">
        <f t="shared" si="16"/>
        <v>0</v>
      </c>
      <c r="I59" s="42">
        <f t="shared" si="18"/>
        <v>0</v>
      </c>
      <c r="J59" s="43">
        <f t="shared" si="19"/>
        <v>0</v>
      </c>
      <c r="L59" s="62"/>
      <c r="M59" s="62"/>
      <c r="N59" s="62"/>
      <c r="O59" s="62"/>
      <c r="P59" s="62"/>
      <c r="Q59" s="66">
        <f t="shared" si="21"/>
        <v>0</v>
      </c>
    </row>
    <row r="60" spans="1:17" ht="13.5" thickBot="1" x14ac:dyDescent="0.25">
      <c r="A60" s="14" t="s">
        <v>23</v>
      </c>
      <c r="B60" s="20"/>
      <c r="C60" s="20"/>
      <c r="D60" s="20">
        <f t="shared" si="20"/>
        <v>0</v>
      </c>
      <c r="E60" s="20">
        <f t="shared" si="17"/>
        <v>0</v>
      </c>
      <c r="F60" s="57">
        <v>1</v>
      </c>
      <c r="G60" s="20">
        <f t="shared" si="15"/>
        <v>0</v>
      </c>
      <c r="H60" s="38">
        <f t="shared" si="16"/>
        <v>0</v>
      </c>
      <c r="I60" s="42">
        <f t="shared" si="18"/>
        <v>0</v>
      </c>
      <c r="J60" s="44">
        <f t="shared" si="19"/>
        <v>0</v>
      </c>
      <c r="L60" s="63"/>
      <c r="M60" s="63"/>
      <c r="N60" s="63"/>
      <c r="O60" s="63"/>
      <c r="P60" s="63"/>
      <c r="Q60" s="66">
        <f t="shared" si="21"/>
        <v>0</v>
      </c>
    </row>
    <row r="61" spans="1:17" ht="13.5" thickBot="1" x14ac:dyDescent="0.25">
      <c r="A61" s="15" t="s">
        <v>24</v>
      </c>
      <c r="B61" s="16">
        <f>SUM(B49:B60)</f>
        <v>4789015</v>
      </c>
      <c r="C61" s="16">
        <f>SUM(C49:C60)</f>
        <v>912310.98499999999</v>
      </c>
      <c r="D61" s="16">
        <f>SUM(D49:D60)-1</f>
        <v>4788.0149999999994</v>
      </c>
      <c r="E61" s="16">
        <f>SUM(E49:E60)</f>
        <v>3876704.0150000001</v>
      </c>
      <c r="F61" s="50"/>
      <c r="G61" s="16">
        <f>SUM(G49:G60)+1</f>
        <v>4867388.6210000003</v>
      </c>
      <c r="H61" s="16">
        <f>SUM(H49:H60)</f>
        <v>3940146.5816209996</v>
      </c>
      <c r="I61" s="16">
        <f>SUM(I49:I60)</f>
        <v>409730.01500000001</v>
      </c>
      <c r="J61" s="16">
        <f>SUM(J49:J60)</f>
        <v>1322041</v>
      </c>
      <c r="L61" s="64">
        <f>SUM(L49:L60)</f>
        <v>80242</v>
      </c>
      <c r="M61" s="64">
        <f>SUM(M49:M60)</f>
        <v>114937</v>
      </c>
      <c r="N61" s="64">
        <f>SUM(N49:N60)</f>
        <v>166661</v>
      </c>
      <c r="O61" s="64"/>
      <c r="P61" s="64">
        <f>SUM(P49:P60)</f>
        <v>43101</v>
      </c>
      <c r="Q61" s="67">
        <f>SUM(Q49:Q60)</f>
        <v>4789.0149999999994</v>
      </c>
    </row>
    <row r="65" spans="1:17" x14ac:dyDescent="0.2">
      <c r="J65">
        <v>3</v>
      </c>
    </row>
    <row r="66" spans="1:17" ht="13.5" thickBot="1" x14ac:dyDescent="0.25"/>
    <row r="67" spans="1:17" x14ac:dyDescent="0.2">
      <c r="A67" s="4" t="s">
        <v>25</v>
      </c>
      <c r="B67" s="5" t="s">
        <v>51</v>
      </c>
      <c r="C67" s="5"/>
      <c r="D67" s="5"/>
      <c r="E67" s="5"/>
      <c r="F67" s="53"/>
      <c r="G67" s="3"/>
      <c r="H67" s="2"/>
    </row>
    <row r="68" spans="1:17" ht="13.5" thickBot="1" x14ac:dyDescent="0.25">
      <c r="A68" s="17" t="s">
        <v>1</v>
      </c>
      <c r="B68" s="10" t="s">
        <v>52</v>
      </c>
      <c r="C68" s="18"/>
      <c r="D68" s="18"/>
      <c r="E68" s="18"/>
      <c r="F68" s="54"/>
      <c r="G68" s="11"/>
      <c r="H68" s="12"/>
    </row>
    <row r="69" spans="1:17" ht="13.5" thickBot="1" x14ac:dyDescent="0.25">
      <c r="A69" s="45" t="s">
        <v>3</v>
      </c>
      <c r="B69" s="23" t="s">
        <v>4</v>
      </c>
      <c r="C69" s="23" t="s">
        <v>5</v>
      </c>
      <c r="D69" s="23" t="s">
        <v>41</v>
      </c>
      <c r="E69" s="23" t="s">
        <v>6</v>
      </c>
      <c r="F69" s="26" t="s">
        <v>7</v>
      </c>
      <c r="G69" s="23" t="s">
        <v>33</v>
      </c>
      <c r="H69" s="23" t="s">
        <v>8</v>
      </c>
      <c r="I69" s="22" t="s">
        <v>27</v>
      </c>
      <c r="J69" s="40" t="s">
        <v>30</v>
      </c>
      <c r="L69" s="72" t="s">
        <v>44</v>
      </c>
      <c r="M69" s="73"/>
      <c r="N69" s="73"/>
      <c r="O69" s="73"/>
      <c r="P69" s="73"/>
      <c r="Q69" s="74"/>
    </row>
    <row r="70" spans="1:17" ht="13.5" thickBot="1" x14ac:dyDescent="0.25">
      <c r="A70" s="24"/>
      <c r="B70" s="25" t="s">
        <v>9</v>
      </c>
      <c r="C70" s="25" t="s">
        <v>10</v>
      </c>
      <c r="D70" s="25" t="s">
        <v>42</v>
      </c>
      <c r="E70" s="25" t="s">
        <v>32</v>
      </c>
      <c r="F70" s="27" t="s">
        <v>11</v>
      </c>
      <c r="G70" s="25" t="s">
        <v>34</v>
      </c>
      <c r="H70" s="25" t="s">
        <v>35</v>
      </c>
      <c r="I70" s="24" t="s">
        <v>28</v>
      </c>
      <c r="J70" s="41" t="s">
        <v>31</v>
      </c>
      <c r="L70" s="58" t="s">
        <v>45</v>
      </c>
      <c r="M70" s="59" t="s">
        <v>46</v>
      </c>
      <c r="N70" s="59" t="s">
        <v>47</v>
      </c>
      <c r="O70" s="75" t="s">
        <v>54</v>
      </c>
      <c r="P70" s="60" t="s">
        <v>48</v>
      </c>
      <c r="Q70" s="65" t="s">
        <v>50</v>
      </c>
    </row>
    <row r="71" spans="1:17" x14ac:dyDescent="0.2">
      <c r="A71" s="13" t="s">
        <v>12</v>
      </c>
      <c r="B71" s="36">
        <v>0</v>
      </c>
      <c r="C71" s="20">
        <v>0</v>
      </c>
      <c r="D71" s="20">
        <v>0</v>
      </c>
      <c r="E71" s="20">
        <f>B71-C71</f>
        <v>0</v>
      </c>
      <c r="F71" s="55">
        <v>1.036</v>
      </c>
      <c r="G71" s="20">
        <f t="shared" ref="G71:G82" si="22">B71*F71</f>
        <v>0</v>
      </c>
      <c r="H71" s="37">
        <f t="shared" ref="H71:H82" si="23">E71*F71</f>
        <v>0</v>
      </c>
      <c r="I71" s="42">
        <f>L71+M71+N71+P71+Q71</f>
        <v>0</v>
      </c>
      <c r="J71" s="43">
        <f>C71+I71</f>
        <v>0</v>
      </c>
      <c r="L71" s="61">
        <v>0</v>
      </c>
      <c r="M71" s="61">
        <v>0</v>
      </c>
      <c r="N71" s="61">
        <v>0</v>
      </c>
      <c r="O71" s="61"/>
      <c r="P71" s="61">
        <v>0</v>
      </c>
      <c r="Q71" s="66">
        <f>D71</f>
        <v>0</v>
      </c>
    </row>
    <row r="72" spans="1:17" x14ac:dyDescent="0.2">
      <c r="A72" s="13" t="s">
        <v>13</v>
      </c>
      <c r="B72" s="20">
        <v>0</v>
      </c>
      <c r="C72" s="20">
        <v>0</v>
      </c>
      <c r="D72" s="20">
        <f>B72*0.1%</f>
        <v>0</v>
      </c>
      <c r="E72" s="20">
        <f t="shared" ref="E72:E82" si="24">B72-C72</f>
        <v>0</v>
      </c>
      <c r="F72" s="56">
        <v>1.026</v>
      </c>
      <c r="G72" s="20">
        <f t="shared" si="22"/>
        <v>0</v>
      </c>
      <c r="H72" s="38">
        <f t="shared" si="23"/>
        <v>0</v>
      </c>
      <c r="I72" s="42">
        <f t="shared" ref="I72:I82" si="25">L72+M72+N72+P72+Q72</f>
        <v>0</v>
      </c>
      <c r="J72" s="43">
        <f t="shared" ref="J72:J82" si="26">C72+I72</f>
        <v>0</v>
      </c>
      <c r="L72" s="62"/>
      <c r="M72" s="62"/>
      <c r="N72" s="62"/>
      <c r="O72" s="62"/>
      <c r="P72" s="62"/>
      <c r="Q72" s="66">
        <f>D72</f>
        <v>0</v>
      </c>
    </row>
    <row r="73" spans="1:17" x14ac:dyDescent="0.2">
      <c r="A73" s="13" t="s">
        <v>14</v>
      </c>
      <c r="B73" s="20">
        <v>0</v>
      </c>
      <c r="C73" s="20">
        <v>0</v>
      </c>
      <c r="D73" s="20">
        <f t="shared" ref="D73:D82" si="27">B73*0.1%</f>
        <v>0</v>
      </c>
      <c r="E73" s="20">
        <f t="shared" si="24"/>
        <v>0</v>
      </c>
      <c r="F73" s="56">
        <v>1.022</v>
      </c>
      <c r="G73" s="20">
        <f t="shared" si="22"/>
        <v>0</v>
      </c>
      <c r="H73" s="38">
        <f t="shared" si="23"/>
        <v>0</v>
      </c>
      <c r="I73" s="42">
        <f t="shared" si="25"/>
        <v>0</v>
      </c>
      <c r="J73" s="43">
        <f t="shared" si="26"/>
        <v>0</v>
      </c>
      <c r="L73" s="62"/>
      <c r="M73" s="62"/>
      <c r="N73" s="62"/>
      <c r="O73" s="62"/>
      <c r="P73" s="62"/>
      <c r="Q73" s="66">
        <f t="shared" ref="Q73:Q82" si="28">D73</f>
        <v>0</v>
      </c>
    </row>
    <row r="74" spans="1:17" x14ac:dyDescent="0.2">
      <c r="A74" s="13" t="s">
        <v>15</v>
      </c>
      <c r="B74" s="20">
        <v>0</v>
      </c>
      <c r="C74" s="20">
        <v>0</v>
      </c>
      <c r="D74" s="20">
        <f t="shared" si="27"/>
        <v>0</v>
      </c>
      <c r="E74" s="20">
        <f t="shared" si="24"/>
        <v>0</v>
      </c>
      <c r="F74" s="56">
        <v>1.016</v>
      </c>
      <c r="G74" s="20">
        <f t="shared" si="22"/>
        <v>0</v>
      </c>
      <c r="H74" s="38">
        <f t="shared" si="23"/>
        <v>0</v>
      </c>
      <c r="I74" s="42">
        <f t="shared" si="25"/>
        <v>0</v>
      </c>
      <c r="J74" s="43">
        <f t="shared" si="26"/>
        <v>0</v>
      </c>
      <c r="L74" s="62"/>
      <c r="M74" s="62"/>
      <c r="N74" s="62"/>
      <c r="O74" s="62"/>
      <c r="P74" s="62"/>
      <c r="Q74" s="66">
        <f t="shared" si="28"/>
        <v>0</v>
      </c>
    </row>
    <row r="75" spans="1:17" x14ac:dyDescent="0.2">
      <c r="A75" s="13" t="s">
        <v>16</v>
      </c>
      <c r="B75" s="20">
        <v>0</v>
      </c>
      <c r="C75" s="20">
        <v>0</v>
      </c>
      <c r="D75" s="20">
        <f t="shared" si="27"/>
        <v>0</v>
      </c>
      <c r="E75" s="20">
        <f t="shared" si="24"/>
        <v>0</v>
      </c>
      <c r="F75" s="56">
        <v>1.014</v>
      </c>
      <c r="G75" s="20">
        <f t="shared" si="22"/>
        <v>0</v>
      </c>
      <c r="H75" s="38">
        <f t="shared" si="23"/>
        <v>0</v>
      </c>
      <c r="I75" s="42">
        <f t="shared" si="25"/>
        <v>0</v>
      </c>
      <c r="J75" s="43">
        <f t="shared" si="26"/>
        <v>0</v>
      </c>
      <c r="L75" s="62"/>
      <c r="M75" s="62"/>
      <c r="N75" s="62"/>
      <c r="O75" s="62"/>
      <c r="P75" s="62"/>
      <c r="Q75" s="66">
        <f t="shared" si="28"/>
        <v>0</v>
      </c>
    </row>
    <row r="76" spans="1:17" x14ac:dyDescent="0.2">
      <c r="A76" s="13" t="s">
        <v>17</v>
      </c>
      <c r="B76" s="20">
        <v>750000</v>
      </c>
      <c r="C76" s="20">
        <f>79200+4500+52500-D76</f>
        <v>135450</v>
      </c>
      <c r="D76" s="20">
        <f t="shared" si="27"/>
        <v>750</v>
      </c>
      <c r="E76" s="20">
        <f t="shared" si="24"/>
        <v>614550</v>
      </c>
      <c r="F76" s="56">
        <v>1.012</v>
      </c>
      <c r="G76" s="20">
        <f t="shared" si="22"/>
        <v>759000</v>
      </c>
      <c r="H76" s="38">
        <f t="shared" si="23"/>
        <v>621924.6</v>
      </c>
      <c r="I76" s="42">
        <f t="shared" si="25"/>
        <v>63750</v>
      </c>
      <c r="J76" s="43">
        <f t="shared" si="26"/>
        <v>199200</v>
      </c>
      <c r="L76" s="62">
        <v>12150</v>
      </c>
      <c r="M76" s="62">
        <v>18000</v>
      </c>
      <c r="N76" s="62">
        <v>26100</v>
      </c>
      <c r="O76" s="62"/>
      <c r="P76" s="62">
        <v>6750</v>
      </c>
      <c r="Q76" s="66">
        <f t="shared" si="28"/>
        <v>750</v>
      </c>
    </row>
    <row r="77" spans="1:17" x14ac:dyDescent="0.2">
      <c r="A77" s="13" t="s">
        <v>18</v>
      </c>
      <c r="B77" s="20">
        <v>750000</v>
      </c>
      <c r="C77" s="20">
        <f>79200+4500+52500-D77</f>
        <v>135450</v>
      </c>
      <c r="D77" s="20">
        <f t="shared" si="27"/>
        <v>750</v>
      </c>
      <c r="E77" s="20">
        <f t="shared" si="24"/>
        <v>614550</v>
      </c>
      <c r="F77" s="56">
        <v>1.0169999999999999</v>
      </c>
      <c r="G77" s="20">
        <f t="shared" si="22"/>
        <v>762749.99999999988</v>
      </c>
      <c r="H77" s="38">
        <f t="shared" si="23"/>
        <v>624997.35</v>
      </c>
      <c r="I77" s="42">
        <f t="shared" si="25"/>
        <v>66600</v>
      </c>
      <c r="J77" s="43">
        <f t="shared" si="26"/>
        <v>202050</v>
      </c>
      <c r="L77" s="62">
        <v>15000</v>
      </c>
      <c r="M77" s="62">
        <v>18000</v>
      </c>
      <c r="N77" s="62">
        <v>26100</v>
      </c>
      <c r="O77" s="62"/>
      <c r="P77" s="62">
        <v>6750</v>
      </c>
      <c r="Q77" s="66">
        <f t="shared" si="28"/>
        <v>750</v>
      </c>
    </row>
    <row r="78" spans="1:17" x14ac:dyDescent="0.2">
      <c r="A78" s="13" t="s">
        <v>19</v>
      </c>
      <c r="B78" s="20">
        <v>750000</v>
      </c>
      <c r="C78" s="20">
        <f>79200+4500+52500-D78</f>
        <v>135450</v>
      </c>
      <c r="D78" s="20">
        <f t="shared" si="27"/>
        <v>750</v>
      </c>
      <c r="E78" s="20">
        <f t="shared" si="24"/>
        <v>614550</v>
      </c>
      <c r="F78" s="56">
        <v>1.008</v>
      </c>
      <c r="G78" s="20">
        <f t="shared" si="22"/>
        <v>756000</v>
      </c>
      <c r="H78" s="38">
        <f t="shared" si="23"/>
        <v>619466.4</v>
      </c>
      <c r="I78" s="42">
        <f t="shared" si="25"/>
        <v>63600</v>
      </c>
      <c r="J78" s="43">
        <f t="shared" si="26"/>
        <v>199050</v>
      </c>
      <c r="L78" s="62">
        <v>13350</v>
      </c>
      <c r="M78" s="62">
        <v>18000</v>
      </c>
      <c r="N78" s="62">
        <v>26100</v>
      </c>
      <c r="O78" s="62"/>
      <c r="P78" s="62">
        <v>5400</v>
      </c>
      <c r="Q78" s="66">
        <f t="shared" si="28"/>
        <v>750</v>
      </c>
    </row>
    <row r="79" spans="1:17" x14ac:dyDescent="0.2">
      <c r="A79" s="13" t="s">
        <v>20</v>
      </c>
      <c r="B79" s="20"/>
      <c r="C79" s="20"/>
      <c r="D79" s="20">
        <f t="shared" si="27"/>
        <v>0</v>
      </c>
      <c r="E79" s="20">
        <f t="shared" si="24"/>
        <v>0</v>
      </c>
      <c r="F79" s="56">
        <v>1.0069999999999999</v>
      </c>
      <c r="G79" s="20">
        <f t="shared" si="22"/>
        <v>0</v>
      </c>
      <c r="H79" s="38">
        <f t="shared" si="23"/>
        <v>0</v>
      </c>
      <c r="I79" s="42">
        <f t="shared" si="25"/>
        <v>0</v>
      </c>
      <c r="J79" s="43">
        <f t="shared" si="26"/>
        <v>0</v>
      </c>
      <c r="L79" s="62"/>
      <c r="M79" s="62"/>
      <c r="N79" s="62"/>
      <c r="O79" s="62"/>
      <c r="P79" s="62"/>
      <c r="Q79" s="66">
        <f t="shared" si="28"/>
        <v>0</v>
      </c>
    </row>
    <row r="80" spans="1:17" x14ac:dyDescent="0.2">
      <c r="A80" s="13" t="s">
        <v>21</v>
      </c>
      <c r="B80" s="20"/>
      <c r="C80" s="20"/>
      <c r="D80" s="20">
        <f t="shared" si="27"/>
        <v>0</v>
      </c>
      <c r="E80" s="20">
        <f t="shared" si="24"/>
        <v>0</v>
      </c>
      <c r="F80" s="56">
        <v>1.0029999999999999</v>
      </c>
      <c r="G80" s="20">
        <f t="shared" si="22"/>
        <v>0</v>
      </c>
      <c r="H80" s="38">
        <f t="shared" si="23"/>
        <v>0</v>
      </c>
      <c r="I80" s="42">
        <f t="shared" si="25"/>
        <v>0</v>
      </c>
      <c r="J80" s="43">
        <f t="shared" si="26"/>
        <v>0</v>
      </c>
      <c r="L80" s="62"/>
      <c r="M80" s="62"/>
      <c r="N80" s="62"/>
      <c r="O80" s="62"/>
      <c r="P80" s="62"/>
      <c r="Q80" s="66">
        <f t="shared" si="28"/>
        <v>0</v>
      </c>
    </row>
    <row r="81" spans="1:17" x14ac:dyDescent="0.2">
      <c r="A81" s="13" t="s">
        <v>22</v>
      </c>
      <c r="B81" s="20"/>
      <c r="C81" s="20"/>
      <c r="D81" s="20">
        <f t="shared" si="27"/>
        <v>0</v>
      </c>
      <c r="E81" s="20">
        <f t="shared" si="24"/>
        <v>0</v>
      </c>
      <c r="F81" s="56">
        <v>1.0029999999999999</v>
      </c>
      <c r="G81" s="20">
        <f t="shared" si="22"/>
        <v>0</v>
      </c>
      <c r="H81" s="38">
        <f t="shared" si="23"/>
        <v>0</v>
      </c>
      <c r="I81" s="42">
        <f t="shared" si="25"/>
        <v>0</v>
      </c>
      <c r="J81" s="43">
        <f t="shared" si="26"/>
        <v>0</v>
      </c>
      <c r="L81" s="62"/>
      <c r="M81" s="62"/>
      <c r="N81" s="62"/>
      <c r="O81" s="62"/>
      <c r="P81" s="62"/>
      <c r="Q81" s="66">
        <f t="shared" si="28"/>
        <v>0</v>
      </c>
    </row>
    <row r="82" spans="1:17" ht="13.5" thickBot="1" x14ac:dyDescent="0.25">
      <c r="A82" s="14" t="s">
        <v>23</v>
      </c>
      <c r="B82" s="20"/>
      <c r="C82" s="20"/>
      <c r="D82" s="20">
        <f t="shared" si="27"/>
        <v>0</v>
      </c>
      <c r="E82" s="20">
        <f t="shared" si="24"/>
        <v>0</v>
      </c>
      <c r="F82" s="57">
        <v>1</v>
      </c>
      <c r="G82" s="20">
        <f t="shared" si="22"/>
        <v>0</v>
      </c>
      <c r="H82" s="38">
        <f t="shared" si="23"/>
        <v>0</v>
      </c>
      <c r="I82" s="42">
        <f t="shared" si="25"/>
        <v>0</v>
      </c>
      <c r="J82" s="44">
        <f t="shared" si="26"/>
        <v>0</v>
      </c>
      <c r="L82" s="63"/>
      <c r="M82" s="63"/>
      <c r="N82" s="63"/>
      <c r="O82" s="63"/>
      <c r="P82" s="63"/>
      <c r="Q82" s="66">
        <f t="shared" si="28"/>
        <v>0</v>
      </c>
    </row>
    <row r="83" spans="1:17" ht="13.5" thickBot="1" x14ac:dyDescent="0.25">
      <c r="A83" s="15" t="s">
        <v>24</v>
      </c>
      <c r="B83" s="16">
        <f>SUM(B71:B82)</f>
        <v>2250000</v>
      </c>
      <c r="C83" s="16">
        <f>SUM(C71:C82)</f>
        <v>406350</v>
      </c>
      <c r="D83" s="16">
        <f>SUM(D71:D82)-1</f>
        <v>2249</v>
      </c>
      <c r="E83" s="16">
        <f>SUM(E71:E82)</f>
        <v>1843650</v>
      </c>
      <c r="F83" s="50"/>
      <c r="G83" s="16">
        <f>SUM(G71:G82)+1</f>
        <v>2277751</v>
      </c>
      <c r="H83" s="16">
        <f>SUM(H71:H82)</f>
        <v>1866388.35</v>
      </c>
      <c r="I83" s="16">
        <f>SUM(I71:I82)</f>
        <v>193950</v>
      </c>
      <c r="J83" s="16">
        <f>SUM(J71:J82)</f>
        <v>600300</v>
      </c>
      <c r="L83" s="64">
        <f>SUM(L71:L82)</f>
        <v>40500</v>
      </c>
      <c r="M83" s="64">
        <f>SUM(M71:M82)</f>
        <v>54000</v>
      </c>
      <c r="N83" s="64">
        <f>SUM(N71:N82)</f>
        <v>78300</v>
      </c>
      <c r="O83" s="64"/>
      <c r="P83" s="64">
        <f>SUM(P71:P82)</f>
        <v>18900</v>
      </c>
      <c r="Q83" s="67">
        <f>SUM(Q71:Q82)</f>
        <v>2250</v>
      </c>
    </row>
  </sheetData>
  <mergeCells count="4">
    <mergeCell ref="L26:Q26"/>
    <mergeCell ref="L47:Q47"/>
    <mergeCell ref="L6:Q6"/>
    <mergeCell ref="L69:Q69"/>
  </mergeCells>
  <pageMargins left="0.74803149606299213" right="0.35433070866141736" top="0.59055118110236227" bottom="0.23622047244094491" header="0" footer="0"/>
  <pageSetup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SUELDOS 2026</vt:lpstr>
    </vt:vector>
  </TitlesOfParts>
  <Company>Contador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Villareal</dc:creator>
  <cp:lastModifiedBy>Acer</cp:lastModifiedBy>
  <cp:lastPrinted>2026-03-24T19:15:14Z</cp:lastPrinted>
  <dcterms:created xsi:type="dcterms:W3CDTF">2013-03-26T14:21:55Z</dcterms:created>
  <dcterms:modified xsi:type="dcterms:W3CDTF">2026-09-28T20:16:52Z</dcterms:modified>
</cp:coreProperties>
</file>